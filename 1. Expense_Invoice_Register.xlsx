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shboard" sheetId="1" state="visible" r:id="rId3"/>
    <sheet name="Invoice Register" sheetId="2" state="visible" r:id="rId4"/>
    <sheet name="Emails Not Scanned" sheetId="3" state="visible" r:id="rId5"/>
  </sheets>
  <definedNames>
    <definedName function="false" hidden="true" localSheetId="1" name="_xlnm._FilterDatabase" vbProcedure="false">'Invoice Register'!$A$4:$AT$121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<sst xmlns="http://schemas.openxmlformats.org/spreadsheetml/2006/main" count="2034" uniqueCount="774">
  <si>
    <t xml:space="preserve">NICOBAR DESIGN PVT. LTD. · PURCHASE INVOICES FY 2026-27</t>
  </si>
  <si>
    <t xml:space="preserve">Expense Ledger – Dashboard</t>
  </si>
  <si>
    <t xml:space="preserve">As of</t>
  </si>
  <si>
    <t xml:space="preserve">Live from the "Invoice Register" sheet – updates automatically when rows are added. Blue text = edit if needed.</t>
  </si>
  <si>
    <t xml:space="preserve">Invoice total</t>
  </si>
  <si>
    <t xml:space="preserve">Net payable (after TDS)</t>
  </si>
  <si>
    <t xml:space="preserve">GST charged (ITC)</t>
  </si>
  <si>
    <t xml:space="preserve">TDS to deduct</t>
  </si>
  <si>
    <t xml:space="preserve">RCM IGST payable</t>
  </si>
  <si>
    <t xml:space="preserve">Subject to GSTR-2B</t>
  </si>
  <si>
    <t xml:space="preserve">Confirm rates with CA</t>
  </si>
  <si>
    <t xml:space="preserve">18% on import of services</t>
  </si>
  <si>
    <t xml:space="preserve">Spend by vendor</t>
  </si>
  <si>
    <t xml:space="preserve">Spend by invoice month</t>
  </si>
  <si>
    <t xml:space="preserve">Vendor (as in Supplier column)</t>
  </si>
  <si>
    <t xml:space="preserve">Lines</t>
  </si>
  <si>
    <t xml:space="preserve">Share</t>
  </si>
  <si>
    <t xml:space="preserve">Month</t>
  </si>
  <si>
    <t xml:space="preserve">₹ lakh</t>
  </si>
  <si>
    <t xml:space="preserve">Cushman &amp; Wakefield India Private Limited</t>
  </si>
  <si>
    <t xml:space="preserve">DLF Home Developers Limited</t>
  </si>
  <si>
    <t xml:space="preserve">Antya Web Private Limited</t>
  </si>
  <si>
    <t xml:space="preserve">M/s Stitch-9</t>
  </si>
  <si>
    <t xml:space="preserve">Branch of Quang Vinh Ceramic Co., Ltd (Vietnam)</t>
  </si>
  <si>
    <t xml:space="preserve">Clay Craft India Limited</t>
  </si>
  <si>
    <t xml:space="preserve">Jatin Gulabrai Parekh</t>
  </si>
  <si>
    <t xml:space="preserve">Other / new vendors</t>
  </si>
  <si>
    <t xml:space="preserve">Total</t>
  </si>
  <si>
    <t xml:space="preserve">Top 7 vendors by spend (the routine refreshes this list). All others are in "Other / new vendors".</t>
  </si>
  <si>
    <t xml:space="preserve">FY total</t>
  </si>
  <si>
    <t xml:space="preserve">Before Apr-26 (prior FY)</t>
  </si>
  <si>
    <t xml:space="preserve">Taxable value by GST treatment</t>
  </si>
  <si>
    <t xml:space="preserve">GST &amp; TDS summary</t>
  </si>
  <si>
    <t xml:space="preserve">GST treatment</t>
  </si>
  <si>
    <t xml:space="preserve">Taxable value</t>
  </si>
  <si>
    <t xml:space="preserve">Item</t>
  </si>
  <si>
    <t xml:space="preserve">Amount</t>
  </si>
  <si>
    <t xml:space="preserve">IGST</t>
  </si>
  <si>
    <t xml:space="preserve">IGST charged</t>
  </si>
  <si>
    <t xml:space="preserve">CGST+SGST</t>
  </si>
  <si>
    <t xml:space="preserve">CGST charged</t>
  </si>
  <si>
    <t xml:space="preserve">Import (no GST)</t>
  </si>
  <si>
    <t xml:space="preserve">SGST charged</t>
  </si>
  <si>
    <t xml:space="preserve">No GST (unregistered)</t>
  </si>
  <si>
    <t xml:space="preserve">Total GST (ITC)</t>
  </si>
  <si>
    <t xml:space="preserve">Other</t>
  </si>
  <si>
    <t xml:space="preserve">IGST payable under RCM</t>
  </si>
  <si>
    <t xml:space="preserve">Net payable to vendors</t>
  </si>
  <si>
    <t xml:space="preserve">Check: vendor total = invoice total</t>
  </si>
  <si>
    <t xml:space="preserve">Charts</t>
  </si>
  <si>
    <t xml:space="preserve">Needs attention (as of 03-Oct-2026 – edit or clear when done)</t>
  </si>
  <si>
    <t xml:space="preserve">ACTION</t>
  </si>
  <si>
    <t xml:space="preserve">Attach the Gmail connector to the scheduled task "Auto-add new invoices to Expense Register" (daily 09:07 IST) – runs of 02 and 03 Oct could not read invoice@nicobar.com.</t>
  </si>
  <si>
    <t xml:space="preserve">4 large emails (24–25 Sep, 12–28 MB) could not be downloaded – save their PDFs into D:\Claude_Sales\Expenses (see "Emails Not Scanned" tab).</t>
  </si>
  <si>
    <t xml:space="preserve">Fill Vendor Code, GL Code and GL Description in 3.Vendor_GL_Codes.xlsx – 116 of 117 lines have no Exps GL Code.</t>
  </si>
  <si>
    <t xml:space="preserve">PAY/CHECK</t>
  </si>
  <si>
    <t xml:space="preserve">Pay IGST under RCM on Anthropic imports via GSTR-3B (see J7), then claim ITC.</t>
  </si>
  <si>
    <t xml:space="preserve">REVIEW</t>
  </si>
  <si>
    <t xml:space="preserve">TDS 0.1% (194Q) is applied on Clay Craft and Stitch-9 although their notes say "only if FY purchases &gt; ₹50 L" – confirm FY purchases and set TDS Rate to 0 if below.</t>
  </si>
  <si>
    <t xml:space="preserve">Confirm TDS rates with CA (10% rent, 2% contract/brokerage, 10% professional fees).</t>
  </si>
  <si>
    <t xml:space="preserve">FX: Quang Vinh at ₹95.8179/USD; Anthropic at RBI/FBIL rate per invoice date – replace with bank/customs rate if different.</t>
  </si>
  <si>
    <t xml:space="preserve">Nicobar Design Pvt. Ltd. – Purchase Invoice Register</t>
  </si>
  <si>
    <t xml:space="preserve">Add one row per invoice line. Blue cells = inputs; black cells = formulas (Year, Month, Taxable Amount, IGST, CGST, SGST, Invoice Total, TDS Amount, Net Payable). Copy formulas down for new rows.</t>
  </si>
  <si>
    <t xml:space="preserve">S.No.</t>
  </si>
  <si>
    <t xml:space="preserve">Folder / File</t>
  </si>
  <si>
    <t xml:space="preserve">Invoice No.</t>
  </si>
  <si>
    <t xml:space="preserve">Invoice Date</t>
  </si>
  <si>
    <t xml:space="preserve">Year</t>
  </si>
  <si>
    <t xml:space="preserve">Supplier</t>
  </si>
  <si>
    <t xml:space="preserve">Supplier GSTIN</t>
  </si>
  <si>
    <t xml:space="preserve">Item Code</t>
  </si>
  <si>
    <t xml:space="preserve">Description</t>
  </si>
  <si>
    <t xml:space="preserve">HSN</t>
  </si>
  <si>
    <t xml:space="preserve">Boxes</t>
  </si>
  <si>
    <t xml:space="preserve">Quantity</t>
  </si>
  <si>
    <t xml:space="preserve">Unit</t>
  </si>
  <si>
    <t xml:space="preserve">Rate (₹)</t>
  </si>
  <si>
    <t xml:space="preserve">Discount (₹)</t>
  </si>
  <si>
    <t xml:space="preserve">Taxable Amount (₹)</t>
  </si>
  <si>
    <t xml:space="preserve">GST Rate</t>
  </si>
  <si>
    <t xml:space="preserve">Tax Type</t>
  </si>
  <si>
    <t xml:space="preserve">IGST (₹)</t>
  </si>
  <si>
    <t xml:space="preserve">CGST (₹)</t>
  </si>
  <si>
    <t xml:space="preserve">SGST (₹)</t>
  </si>
  <si>
    <t xml:space="preserve">Round Off (₹)</t>
  </si>
  <si>
    <t xml:space="preserve">Invoice Total (₹)</t>
  </si>
  <si>
    <t xml:space="preserve">TDS Amount (₹)</t>
  </si>
  <si>
    <t xml:space="preserve">Net Payable (₹)</t>
  </si>
  <si>
    <t xml:space="preserve">Location Code</t>
  </si>
  <si>
    <t xml:space="preserve">Vendor GL Code</t>
  </si>
  <si>
    <t xml:space="preserve">Exps GL Code</t>
  </si>
  <si>
    <t xml:space="preserve">Supplier State</t>
  </si>
  <si>
    <t xml:space="preserve">Buyer GSTIN</t>
  </si>
  <si>
    <t xml:space="preserve">Place of Supply</t>
  </si>
  <si>
    <t xml:space="preserve">Buyer PO No.</t>
  </si>
  <si>
    <t xml:space="preserve">PO Date</t>
  </si>
  <si>
    <t xml:space="preserve">Delivery Note No.</t>
  </si>
  <si>
    <t xml:space="preserve">Reference No.</t>
  </si>
  <si>
    <t xml:space="preserve">IRN</t>
  </si>
  <si>
    <t xml:space="preserve">Ack No.</t>
  </si>
  <si>
    <t xml:space="preserve">Ack Date</t>
  </si>
  <si>
    <t xml:space="preserve">E-Way Bill No.</t>
  </si>
  <si>
    <t xml:space="preserve">Transporter</t>
  </si>
  <si>
    <t xml:space="preserve">LR No.</t>
  </si>
  <si>
    <t xml:space="preserve">Vehicle No.</t>
  </si>
  <si>
    <t xml:space="preserve">RCM / GST Compliance</t>
  </si>
  <si>
    <t xml:space="preserve">TDS Section</t>
  </si>
  <si>
    <t xml:space="preserve">TDS Rate</t>
  </si>
  <si>
    <t xml:space="preserve">Clay Craft India Limited\MN-10076-26-27 12.09.26.pdf</t>
  </si>
  <si>
    <t xml:space="preserve">MN/10076/26-27</t>
  </si>
  <si>
    <t xml:space="preserve">08AAACC6866D1ZO</t>
  </si>
  <si>
    <t xml:space="preserve">FG002530</t>
  </si>
  <si>
    <t xml:space="preserve">NB Chip &amp; Dip Platter Madagascar 8 Pcs (NBI015086)</t>
  </si>
  <si>
    <t xml:space="preserve">69120090</t>
  </si>
  <si>
    <t xml:space="preserve">SET</t>
  </si>
  <si>
    <t xml:space="preserve">Rajasthan (08)</t>
  </si>
  <si>
    <t xml:space="preserve">06AAFCN6567R1ZL</t>
  </si>
  <si>
    <t xml:space="preserve">Haryana (06)</t>
  </si>
  <si>
    <t xml:space="preserve">26000000212</t>
  </si>
  <si>
    <t xml:space="preserve">10077</t>
  </si>
  <si>
    <t xml:space="preserve">10025</t>
  </si>
  <si>
    <t xml:space="preserve">ae7effee14e9c500367bd89f189cbbe82144949d40cf3289faf00e7361cb9127</t>
  </si>
  <si>
    <t xml:space="preserve">172621162836331</t>
  </si>
  <si>
    <t xml:space="preserve">2026-09-12 18:39</t>
  </si>
  <si>
    <t xml:space="preserve">751669414036</t>
  </si>
  <si>
    <t xml:space="preserve">Shyam Cargo Movers</t>
  </si>
  <si>
    <t xml:space="preserve">12047</t>
  </si>
  <si>
    <t xml:space="preserve">HR47H6099</t>
  </si>
  <si>
    <t xml:space="preserve">No RCM – forward charge; goods, IGST 5% charged by supplier. ITC eligible (check GSTR-2B).</t>
  </si>
  <si>
    <t xml:space="preserve">Sec 393(1) – purchase of goods (old 194Q), code 1031. Apply only if FY purchases from this supplier &gt; ₹50 L (on excess).</t>
  </si>
  <si>
    <t xml:space="preserve">Stitch-9\S9-26-27-274 18.09.26.pdf</t>
  </si>
  <si>
    <t xml:space="preserve">S9/26-27/274</t>
  </si>
  <si>
    <t xml:space="preserve">09AAOFS1968D2ZS</t>
  </si>
  <si>
    <t xml:space="preserve">D1451</t>
  </si>
  <si>
    <t xml:space="preserve">Bash Jumpsuit - Silk Blend Loose Fit</t>
  </si>
  <si>
    <t xml:space="preserve">62114290</t>
  </si>
  <si>
    <t xml:space="preserve">PCS</t>
  </si>
  <si>
    <t xml:space="preserve">Uttar Pradesh (09)</t>
  </si>
  <si>
    <t xml:space="preserve">PO26000001140</t>
  </si>
  <si>
    <t xml:space="preserve">99777f8e7b31a4d9e186beec882f4fab746542a5f80f935acb61b37d3d74aa72</t>
  </si>
  <si>
    <t xml:space="preserve">142621334812849</t>
  </si>
  <si>
    <t xml:space="preserve">18-09-2026</t>
  </si>
  <si>
    <t xml:space="preserve">451773976269</t>
  </si>
  <si>
    <t xml:space="preserve">Kamlesh Tempo Transport</t>
  </si>
  <si>
    <t xml:space="preserve">DL01LAH1554</t>
  </si>
  <si>
    <t xml:space="preserve">No RCM – invoice states Reverse Charge: N; goods, IGST 18% charged. ITC eligible (check GSTR-2B).</t>
  </si>
  <si>
    <t xml:space="preserve">Quang Vinh Ceramic Co Ltd\06-26QV-NICOBAR 25.09.26.pdf</t>
  </si>
  <si>
    <t xml:space="preserve">06/26QV-NICOBAR</t>
  </si>
  <si>
    <t xml:space="preserve">NBI023354</t>
  </si>
  <si>
    <t xml:space="preserve">Ceramic Jug 14.5x8.5x23 cm</t>
  </si>
  <si>
    <t xml:space="preserve">69120010</t>
  </si>
  <si>
    <t xml:space="preserve">PCE</t>
  </si>
  <si>
    <t xml:space="preserve">Vietnam (Import)</t>
  </si>
  <si>
    <t xml:space="preserve">PO26000000358; PO26000000526; PO26000000609</t>
  </si>
  <si>
    <t xml:space="preserve">PI NICO25; NICO26; NICO27</t>
  </si>
  <si>
    <t xml:space="preserve">Not RCM – import of goods: IGST + BCD paid to Customs on Bill of Entry; claim IGST ITC from BoE.</t>
  </si>
  <si>
    <t xml:space="preserve">Not applicable – import of goods from non-resident, no income taxable in India (old 195 / 194Q N/A).</t>
  </si>
  <si>
    <t xml:space="preserve">NBI005679</t>
  </si>
  <si>
    <t xml:space="preserve">Ceramic Plate 21x21.5x1.5 cm</t>
  </si>
  <si>
    <t xml:space="preserve">NBI005681</t>
  </si>
  <si>
    <t xml:space="preserve">Ceramic Bowl 11x11.5x5 cm</t>
  </si>
  <si>
    <t xml:space="preserve">NBI005678</t>
  </si>
  <si>
    <t xml:space="preserve">Ceramic Plate 27x26x1.5 cm</t>
  </si>
  <si>
    <t xml:space="preserve">NBI020668</t>
  </si>
  <si>
    <t xml:space="preserve">Ceramic Bowl 10x9.5x3.5 cm</t>
  </si>
  <si>
    <t xml:space="preserve">NBI017691</t>
  </si>
  <si>
    <t xml:space="preserve">NBI017690</t>
  </si>
  <si>
    <t xml:space="preserve">NBI017689</t>
  </si>
  <si>
    <t xml:space="preserve">NBI023349</t>
  </si>
  <si>
    <t xml:space="preserve">Ceramic Cup 13x10.2x10 cm</t>
  </si>
  <si>
    <t xml:space="preserve">Repacking Charge</t>
  </si>
  <si>
    <t xml:space="preserve">LOT</t>
  </si>
  <si>
    <t xml:space="preserve">Shreyas Gaikwad\S-09-01 15.09.26.pdf</t>
  </si>
  <si>
    <t xml:space="preserve">S#09/01</t>
  </si>
  <si>
    <t xml:space="preserve">Shreyas Gaikwad</t>
  </si>
  <si>
    <t xml:space="preserve">Influencer Collaboration</t>
  </si>
  <si>
    <t xml:space="preserve">07AAFCN6567R1ZJ</t>
  </si>
  <si>
    <t xml:space="preserve">Delhi (07)</t>
  </si>
  <si>
    <t xml:space="preserve">No RCM – unregistered individual; influencer/advertising service not notified under Sec 9(3)/9(4). No GST, no ITC.</t>
  </si>
  <si>
    <t xml:space="preserve">Sec 393(1) – professional/advertising fees (old 194J), 10%, code 1027. Nil now: ₹30,000 is below ₹50,000 FY threshold; deduct 10% if FY total exceeds it.</t>
  </si>
  <si>
    <t xml:space="preserve">DPS Telecom (OPC) Private Limited\09-UPTIN26003027 23.09.26.pdf</t>
  </si>
  <si>
    <t xml:space="preserve">09-UPTIN26003027</t>
  </si>
  <si>
    <t xml:space="preserve">DPS Telecom (OPC) Private Limited</t>
  </si>
  <si>
    <t xml:space="preserve">09AAFCD2760A1Z1</t>
  </si>
  <si>
    <t xml:space="preserve">Internet Access Services – plan DPS-200MB-UL-3MN, 26/09/2026–25/12/2026 (Shop 272A, DLF Mall of India, Noida)</t>
  </si>
  <si>
    <t xml:space="preserve">998422</t>
  </si>
  <si>
    <t xml:space="preserve">09AAFCN6567R1ZF</t>
  </si>
  <si>
    <t xml:space="preserve">Customer ID DPS001879</t>
  </si>
  <si>
    <t xml:space="preserve">No RCM – forward charge; CGST 9% + SGST 9% charged by supplier (T&amp;C "subject to reverse charge" line is boilerplate). ITC eligible against UP GSTIN (check GSTR-2B).</t>
  </si>
  <si>
    <t xml:space="preserve">Sec 393(1) – contract/service (old 194C). Nil – ₹2,847 below single-payment threshold; review if FY total &gt; ₹1 L.</t>
  </si>
  <si>
    <t xml:space="preserve">Vraj Commercial Private Limited\CH-0562-26-27 01.09.26.pdf</t>
  </si>
  <si>
    <t xml:space="preserve">CH/0562/26-27</t>
  </si>
  <si>
    <t xml:space="preserve">Vraj Commercial Private Limited</t>
  </si>
  <si>
    <t xml:space="preserve">22AAHCV7110N1Z8</t>
  </si>
  <si>
    <t xml:space="preserve">CAM Charges for Sep-26 (Nicobar UG 26, Zora The Mall, Raipur)</t>
  </si>
  <si>
    <t xml:space="preserve">998533</t>
  </si>
  <si>
    <t xml:space="preserve">SQF</t>
  </si>
  <si>
    <t xml:space="preserve">Chhattisgarh (22)</t>
  </si>
  <si>
    <t xml:space="preserve">22AAFCN6567R1ZR</t>
  </si>
  <si>
    <t xml:space="preserve">925b19d93bc7d631c6e68641135eb3ac2e3237db55bd5373b5baa3e915eed850</t>
  </si>
  <si>
    <t xml:space="preserve">182623628025173</t>
  </si>
  <si>
    <t xml:space="preserve">01-09-2026</t>
  </si>
  <si>
    <t xml:space="preserve">No RCM – forward charge; CGST 9% + SGST 9% charged. ITC eligible against CG GSTIN (check GSTR-2B).</t>
  </si>
  <si>
    <t xml:space="preserve">Sec 393(1) – contract/service (old 194C), 2% (company). Confirm with CA.</t>
  </si>
  <si>
    <t xml:space="preserve">HVAC Charges for Sep-26 (Nicobar UG 26, Zora The Mall, Raipur)</t>
  </si>
  <si>
    <t xml:space="preserve">997319</t>
  </si>
  <si>
    <t xml:space="preserve">Vraj Commercial Private Limited\EL-DG-0545-26-27 02.09.26.pdf</t>
  </si>
  <si>
    <t xml:space="preserve">EL-DG/0545/26-27</t>
  </si>
  <si>
    <t xml:space="preserve">Support Service to Electricity – Electricity Consumption Aug-26 – 1,428.30 UNT @ ₹13.50 (Opening 19197.4, Closing 20625.7)</t>
  </si>
  <si>
    <t xml:space="preserve">998631</t>
  </si>
  <si>
    <t xml:space="preserve">b323e2f2471536236b6c3b9b523a05bc7d63c88ce2ddc6756db926d4b6846fdc</t>
  </si>
  <si>
    <t xml:space="preserve">182623687389810</t>
  </si>
  <si>
    <t xml:space="preserve">07-09-2026</t>
  </si>
  <si>
    <t xml:space="preserve">No RCM – forward charge; CGST 9% + SGST 9% charged on electricity support service. ITC eligible (check GSTR-2B).</t>
  </si>
  <si>
    <t xml:space="preserve">Sec 393(1) – contract/service (old 194C), 2% (company). Confirm with CA whether electricity pass-through is excluded.</t>
  </si>
  <si>
    <t xml:space="preserve">Support Service to Electricity – Electricity – MD Charges 18.01 KVA @ ₹400.00</t>
  </si>
  <si>
    <t xml:space="preserve">Support Service to Electricity – DG Consumption Aug-26 – 9.24 UNT @ ₹33.77</t>
  </si>
  <si>
    <t xml:space="preserve">Support Service to Electricity – Electricity Consumption Jul-26 Rate Diff – 1,479.20 UNT @ ₹1.28</t>
  </si>
  <si>
    <t xml:space="preserve">Support Service to Electricity – Electricity – MD Charges Jul-26 Rate Diff – 18.01 KVA @ ₹24.99</t>
  </si>
  <si>
    <t xml:space="preserve">Vraj Commercial Private Limited\Rent-0613-26-27 12.09.26.pdf</t>
  </si>
  <si>
    <t xml:space="preserve">Rent/0613/26-27</t>
  </si>
  <si>
    <t xml:space="preserve">Rental Services – 12% Pure Revenue Share on ₹8,40,218 for Aug-2026 (Zora The Mall, Raipur)</t>
  </si>
  <si>
    <t xml:space="preserve">997212</t>
  </si>
  <si>
    <t xml:space="preserve">8f5c80cdb0718df6b4c2b079ecef652f6659df643aafccf0686f7afb3a4dd8d7</t>
  </si>
  <si>
    <t xml:space="preserve">182623774792279</t>
  </si>
  <si>
    <t xml:space="preserve">15-09-2026</t>
  </si>
  <si>
    <t xml:space="preserve">No RCM – forward charge; CGST 9% + SGST 9% on rent. ITC eligible (check GSTR-2B).</t>
  </si>
  <si>
    <t xml:space="preserve">Sec 393(1) – rent of land/building (old 194-I), 10%.</t>
  </si>
  <si>
    <t xml:space="preserve">Anthropic PBC\E87270F6-0001 22.04.26.pdf</t>
  </si>
  <si>
    <t xml:space="preserve">E87270F6-0001</t>
  </si>
  <si>
    <t xml:space="preserve">Anthropic, PBC (USA)</t>
  </si>
  <si>
    <t xml:space="preserve">Claude API – one-time credit purchase (USD 10.00 @ ₹93.8351/USD)</t>
  </si>
  <si>
    <t xml:space="preserve">NOS</t>
  </si>
  <si>
    <t xml:space="preserve">USA (Import)</t>
  </si>
  <si>
    <t xml:space="preserve">Supplier India GST (OIDAR) 9924USA29003OSI</t>
  </si>
  <si>
    <t xml:space="preserve">RCM – import of service; invoice says tax payable on reverse charge. Nicobar to pay IGST 18% on ₹ value via GSTR-3B and claim ITC.</t>
  </si>
  <si>
    <t xml:space="preserve">Non-resident (old Sec 195) – no TDS if no PE in India / DTAA; confirm with CA (Form 15CA/CB for remittance).</t>
  </si>
  <si>
    <t xml:space="preserve">Anthropic PBC\E87270F6-0002 22.04.26.pdf</t>
  </si>
  <si>
    <t xml:space="preserve">E87270F6-0002</t>
  </si>
  <si>
    <t xml:space="preserve">Claude API – one-time credit purchase (USD 90.00 @ ₹93.8351/USD)</t>
  </si>
  <si>
    <t xml:space="preserve">Anthropic PBC\E87270F6-0003 20.05.26.pdf</t>
  </si>
  <si>
    <t xml:space="preserve">E87270F6-0003</t>
  </si>
  <si>
    <t xml:space="preserve">Claude API – one-time credit purchase (USD 200.00 @ ₹96.8441/USD)</t>
  </si>
  <si>
    <t xml:space="preserve">Anthropic PBC\E87270F6-0004 23.07.26.pdf</t>
  </si>
  <si>
    <t xml:space="preserve">E87270F6-0004</t>
  </si>
  <si>
    <t xml:space="preserve">Claude API – one-time credit purchase (USD 100.00 @ ₹96.5431/USD)</t>
  </si>
  <si>
    <t xml:space="preserve">Anthropic PBC\E87270F6-0005 30.07.26.pdf</t>
  </si>
  <si>
    <t xml:space="preserve">E87270F6-0005</t>
  </si>
  <si>
    <t xml:space="preserve">Claude API – one-time credit purchase (USD 100.00 @ ₹95.7327/USD)</t>
  </si>
  <si>
    <t xml:space="preserve">998315</t>
  </si>
  <si>
    <t xml:space="preserve">Anthropic PBC\E87270F6-0006 17.08.26.pdf</t>
  </si>
  <si>
    <t xml:space="preserve">E87270F6-0006</t>
  </si>
  <si>
    <t xml:space="preserve">Claude API – one-time credit purchase (USD 100.00 @ ₹95.6019/USD)</t>
  </si>
  <si>
    <t xml:space="preserve">Anthropic PBC\E87270F6-0007 02.09.26.pdf</t>
  </si>
  <si>
    <t xml:space="preserve">E87270F6-0007</t>
  </si>
  <si>
    <t xml:space="preserve">Claude API – one-time credit purchase (USD 20.00 @ ₹94.9701/USD)</t>
  </si>
  <si>
    <t xml:space="preserve">Anthropic PBC\E87270F6-0008 03.09.26.pdf</t>
  </si>
  <si>
    <t xml:space="preserve">E87270F6-0008</t>
  </si>
  <si>
    <t xml:space="preserve">Claude API – one-time credit purchase (USD 100.00 @ ₹94.4688/USD)</t>
  </si>
  <si>
    <t xml:space="preserve">Anthropic PBC\E87270F6-0009 07.09.26.pdf</t>
  </si>
  <si>
    <t xml:space="preserve">E87270F6-0009</t>
  </si>
  <si>
    <t xml:space="preserve">Claude API – one-time credit purchase (USD 100.00 @ ₹94.4467/USD)</t>
  </si>
  <si>
    <t xml:space="preserve">Antya Web Private Limited\TCAI-513-2627 12.09.26.pdf</t>
  </si>
  <si>
    <t xml:space="preserve">TCAI-513-2627</t>
  </si>
  <si>
    <t xml:space="preserve">33AAGCA7143R1ZA</t>
  </si>
  <si>
    <t xml:space="preserve">AI-Native Consulting to Nicobar – 1 month (12 Sep – 11 Oct 2026)</t>
  </si>
  <si>
    <t xml:space="preserve">999293</t>
  </si>
  <si>
    <t xml:space="preserve">Tamil Nadu (33)</t>
  </si>
  <si>
    <t xml:space="preserve">No RCM – forward charge; IGST 18% charged by supplier. ITC eligible (check GSTR-2B). MSME (UDYAM-TN-02-0471769) – pay within 45 days. Due date 16-09-2026.</t>
  </si>
  <si>
    <t xml:space="preserve">Sec 393(1) – fees for professional/technical services (old 194J), 10%. Confirm with CA.</t>
  </si>
  <si>
    <t xml:space="preserve">Pine Labs Limited\INV092609248716 10.09.26.pdf</t>
  </si>
  <si>
    <t xml:space="preserve">INV092609248716</t>
  </si>
  <si>
    <t xml:space="preserve">Pine Labs Limited</t>
  </si>
  <si>
    <t xml:space="preserve">09AACCP7457K1ZV</t>
  </si>
  <si>
    <t xml:space="preserve">Plutus PoS Service Fee – Aug-26 (line 1)</t>
  </si>
  <si>
    <t xml:space="preserve">998319</t>
  </si>
  <si>
    <t xml:space="preserve">12477167</t>
  </si>
  <si>
    <t xml:space="preserve">839bd782fcfc91fa31e6f83f9b07b14947d83dfd1799675967bc0255960a2c1d</t>
  </si>
  <si>
    <t xml:space="preserve">142621280907873</t>
  </si>
  <si>
    <t xml:space="preserve">2026-09-11 10:55</t>
  </si>
  <si>
    <t xml:space="preserve">No RCM – forward charge; IGST 18% charged by supplier. ITC eligible (check GSTR-2B). Payment term 15 days.</t>
  </si>
  <si>
    <t xml:space="preserve">Sec 393(1) – fees for technical services (old 194J(a)), 2%. Confirm with CA.</t>
  </si>
  <si>
    <t xml:space="preserve">Plutus PoS Service Fee – Aug-26 (line 2)</t>
  </si>
  <si>
    <t xml:space="preserve">Plutus PoS Service Fee – Aug-26 (line 3)</t>
  </si>
  <si>
    <t xml:space="preserve">Plutus PoS Service Fee – Aug-26 (line 4)</t>
  </si>
  <si>
    <t xml:space="preserve">Plutus PoS Service Fee – Aug-26 (line 5)</t>
  </si>
  <si>
    <t xml:space="preserve">Plutus PoS Service Fee – Aug-26 (line 6)</t>
  </si>
  <si>
    <t xml:space="preserve">Plutus PoS Service Fee – Aug-26 (line 7)</t>
  </si>
  <si>
    <t xml:space="preserve">Plutus PoS Service Fee – Aug-26 (line 8)</t>
  </si>
  <si>
    <t xml:space="preserve">Plutus PoS Service Fee – Aug-26 (line 9)</t>
  </si>
  <si>
    <t xml:space="preserve">Plutus PoS Service Fee – Aug-26 (line 10)</t>
  </si>
  <si>
    <t xml:space="preserve">Plutus PoS Service Fee – Aug-26 (line 11)</t>
  </si>
  <si>
    <t xml:space="preserve">Trion Properties Private Limited\3652264407 09.09.26.pdf</t>
  </si>
  <si>
    <t xml:space="preserve">3652264407</t>
  </si>
  <si>
    <t xml:space="preserve">Trion Properties Private Limited</t>
  </si>
  <si>
    <t xml:space="preserve">36AACCT3444Q1ZV</t>
  </si>
  <si>
    <t xml:space="preserve">L&amp;L Agreement F-45 &amp; F-46 – Recovery – Back Up Power Charges, 01-31 Aug 2026</t>
  </si>
  <si>
    <t xml:space="preserve">997221</t>
  </si>
  <si>
    <t xml:space="preserve">Telangana (36)</t>
  </si>
  <si>
    <t xml:space="preserve">36AAFCN6567R1ZI</t>
  </si>
  <si>
    <t xml:space="preserve">cb522de0d722f65d0d17a6a9add7b2d76eeb85ce8516fb9006ec3f063c04e874</t>
  </si>
  <si>
    <t xml:space="preserve">No RCM – forward charge; CGST 9% + SGST 9% (rounded to rupee) charged by supplier. ITC eligible (check GSTR-2B). Interest @24% p.a. after due date 15-09-2026.</t>
  </si>
  <si>
    <t xml:space="preserve">Trion Properties Private Limited\3652264564 09.09.26.pdf</t>
  </si>
  <si>
    <t xml:space="preserve">3652264564</t>
  </si>
  <si>
    <t xml:space="preserve">L&amp;L Agreement F-45 &amp; F-46 – Actual Chilled Water Charges, 01-31 Aug 2026</t>
  </si>
  <si>
    <t xml:space="preserve">6815884e9faa772a22fa86e54dfd2311ce08aae62ab0305d2e852e54f577d127</t>
  </si>
  <si>
    <t xml:space="preserve">Hansa Elite Luxe Interiors Pvt Ltd\GST-030-2026-27 31.08.26.pdf</t>
  </si>
  <si>
    <t xml:space="preserve">GST/030/2026-27</t>
  </si>
  <si>
    <t xml:space="preserve">Hansa Elite Luxe Interiors Pvt Ltd</t>
  </si>
  <si>
    <t xml:space="preserve">36AACCH6825M1Z8</t>
  </si>
  <si>
    <t xml:space="preserve">Sharing of Security Guard – Charges for Aug-2026</t>
  </si>
  <si>
    <t xml:space="preserve">998525</t>
  </si>
  <si>
    <t xml:space="preserve">No RCM – forward charge; CGST 9% + SGST 9% charged by supplier. ITC eligible (check GSTR-2B).</t>
  </si>
  <si>
    <t xml:space="preserve">Hansa Elite Luxe Interiors Pvt Ltd\008-2026-27 09.09.26.pdf</t>
  </si>
  <si>
    <t xml:space="preserve">008/2026-27</t>
  </si>
  <si>
    <t xml:space="preserve">Debit Note – Monthly water HMWS (20% of ₹10,207) – Jul-26</t>
  </si>
  <si>
    <t xml:space="preserve">No GST (reimbursement)</t>
  </si>
  <si>
    <t xml:space="preserve">Debit Note (reimbursement)</t>
  </si>
  <si>
    <t xml:space="preserve">Debit note for reimbursement of maintenance expenses – no GST charged, no ITC. Confirm with CA whether GST should apply.</t>
  </si>
  <si>
    <t xml:space="preserve">Reimbursement of actual expenses – TDS generally not applicable; confirm with CA.</t>
  </si>
  <si>
    <t xml:space="preserve">Debit Note – Additional water tankers 61 nos (20% of ₹90,900) – Jul-26</t>
  </si>
  <si>
    <t xml:space="preserve">Debit Note – Electricity common area sharing 142 units @ ₹11.49 – Jul-26</t>
  </si>
  <si>
    <t xml:space="preserve">Debit Note – Outside housekeeping sharing (₹12,000 / 3) – Jul-26</t>
  </si>
  <si>
    <t xml:space="preserve">Jatin Gulabrai Parekh\2026-27-05-013 02.05.26.pdf</t>
  </si>
  <si>
    <t xml:space="preserve">2026-27/05/013</t>
  </si>
  <si>
    <t xml:space="preserve">24AACPP9141M1ZF</t>
  </si>
  <si>
    <t xml:space="preserve">Society Maintenance – G12 One42, period 01-04-2026 to 31-03-2027</t>
  </si>
  <si>
    <t xml:space="preserve">Gujarat (24)</t>
  </si>
  <si>
    <t xml:space="preserve">24AAFCN6567R5ZJ</t>
  </si>
  <si>
    <t xml:space="preserve">7b9eef44cfc105630ffdf378c86f6ed0861ff5a52270084a8452397f8a6ea6ff</t>
  </si>
  <si>
    <t xml:space="preserve">162624488443866</t>
  </si>
  <si>
    <t xml:space="preserve">2026-05-02</t>
  </si>
  <si>
    <t xml:space="preserve">Shyam Spectra IT Services Private Limited\EHRI001161-25-26 01.03.26.pdf</t>
  </si>
  <si>
    <t xml:space="preserve">EHRI001161/25-26</t>
  </si>
  <si>
    <t xml:space="preserve">Shyam Spectra IT Services Private Limited</t>
  </si>
  <si>
    <t xml:space="preserve">06AARCS7860A1Z5</t>
  </si>
  <si>
    <t xml:space="preserve">AIVIS CCTV – Camera Health Monitoring, 1 Mar – 31 May 2026 (quarterly advance)</t>
  </si>
  <si>
    <t xml:space="preserve">998713</t>
  </si>
  <si>
    <t xml:space="preserve">CAN 603223</t>
  </si>
  <si>
    <t xml:space="preserve">7b5e03b8eb5f5498a8d248250dd1e8a94624d2f658a7ef4bd965aacfca72b7c2</t>
  </si>
  <si>
    <t xml:space="preserve">No RCM – forward charge; IGST 18% charged by supplier. ITC eligible (check GSTR-2B). Bill also shows previous balance ₹21,240 unpaid (not included here). Invoice is FY 2025-26.</t>
  </si>
  <si>
    <t xml:space="preserve">Bharti Airtel Limited\MF2707I006723461 03.09.26.pdf</t>
  </si>
  <si>
    <t xml:space="preserve">MF2707I006723461</t>
  </si>
  <si>
    <t xml:space="preserve">Bharti Airtel Limited</t>
  </si>
  <si>
    <t xml:space="preserve">07AAACB2894G1ZP</t>
  </si>
  <si>
    <t xml:space="preserve">Mobile rentals – 29 connections, 02-Aug to 01-Sep-2026</t>
  </si>
  <si>
    <t xml:space="preserve">998413</t>
  </si>
  <si>
    <t xml:space="preserve">Rel. no 1384739873</t>
  </si>
  <si>
    <t xml:space="preserve">fa6e4a37ad56e8cd9dc6275558030873fbd3d8e439e9648beb9fdfbfe77aa383</t>
  </si>
  <si>
    <t xml:space="preserve">No RCM – forward charge; CGST 9% + SGST 9% charged by supplier. ITC eligible (check GSTR-2B). Pay by 21-09-2026.</t>
  </si>
  <si>
    <t xml:space="preserve">Generally no TDS on telecom bills paid to telecom operators; confirm with CA.</t>
  </si>
  <si>
    <t xml:space="preserve">Late payment charges for Aug-2026</t>
  </si>
  <si>
    <t xml:space="preserve">999799</t>
  </si>
  <si>
    <t xml:space="preserve">Vodafone Idea Limited\DLSO030926765967 03.09.26.pdf</t>
  </si>
  <si>
    <t xml:space="preserve">DLSO030926765967</t>
  </si>
  <si>
    <t xml:space="preserve">Vodafone Idea Limited</t>
  </si>
  <si>
    <t xml:space="preserve">07AAACB2100P1ZZ</t>
  </si>
  <si>
    <t xml:space="preserve">Mobile services 03-Aug to 02-Sep-2026 – 8 connections summary, pre-tax charges per account summary</t>
  </si>
  <si>
    <t xml:space="preserve">Cust no 163196736</t>
  </si>
  <si>
    <t xml:space="preserve">68ae1de810028f8623239d1c5e39b6d04fb55b42f5fa579134319598986bb792</t>
  </si>
  <si>
    <t xml:space="preserve">No RCM – forward charge; CGST 9% + SGST 9% charged by supplier. ITC eligible (check GSTR-2B). Due 13-09-2026.</t>
  </si>
  <si>
    <t xml:space="preserve">Blue Dart Express Limited\2026806R00002349 31.08.26.pdf</t>
  </si>
  <si>
    <t xml:space="preserve">2026806R00002349</t>
  </si>
  <si>
    <t xml:space="preserve">Blue Dart Express Limited</t>
  </si>
  <si>
    <t xml:space="preserve">06AAACB0446L1ZW</t>
  </si>
  <si>
    <t xml:space="preserve">Courier – Etail Air COD – Aug-26 (freight+VAS 7,863.66, IDC 1,783.36, EFSS 303.78, fuel 6,049.59, CAF 2,736.06)</t>
  </si>
  <si>
    <t xml:space="preserve">996812</t>
  </si>
  <si>
    <t xml:space="preserve">A/c FAR322055</t>
  </si>
  <si>
    <t xml:space="preserve">1ea85e08e93d98fd9d6bc4e59ead2825e106a407bdd75cb990b2965ef24746f3</t>
  </si>
  <si>
    <t xml:space="preserve">No RCM – invoice states RCM Applicable: N; CGST 9% + SGST 9% charged. ITC eligible (check GSTR-2B). Interest 2% p.m. on delay.</t>
  </si>
  <si>
    <t xml:space="preserve">Blue Dart Express Limited\2026806R00002350 31.08.26.pdf</t>
  </si>
  <si>
    <t xml:space="preserve">2026806R00002350</t>
  </si>
  <si>
    <t xml:space="preserve">Courier – Etail Air Prepaid – Aug-26</t>
  </si>
  <si>
    <t xml:space="preserve">e849e99c932cae11b221d5d985ca59d400d28133a217d8ba9bd4e0205a5977cf</t>
  </si>
  <si>
    <t xml:space="preserve">Blue Dart Express Limited\2026806R00002351 31.08.26.pdf</t>
  </si>
  <si>
    <t xml:space="preserve">2026806R00002351</t>
  </si>
  <si>
    <t xml:space="preserve">Courier – Domestic Priority – Aug-26</t>
  </si>
  <si>
    <t xml:space="preserve">658744ff8fac597356a89960c7ff2e405846e2744e465e821aa17d9a4b7ab36b</t>
  </si>
  <si>
    <t xml:space="preserve">Blue Dart Express Limited\2026822R00000752 31.08.26.pdf</t>
  </si>
  <si>
    <t xml:space="preserve">2026822R00000752</t>
  </si>
  <si>
    <t xml:space="preserve">22AAACB0446L1Z2</t>
  </si>
  <si>
    <t xml:space="preserve">829ad458c1fda3cd28fd33a9aa6a8edcff77323d414e5d8d9745cf34eabb36c9</t>
  </si>
  <si>
    <t xml:space="preserve">No RCM – invoice states RCM Applicable: N; IGST 18% charged. ITC eligible (check GSTR-2B). Interest 2% p.m. on delay.</t>
  </si>
  <si>
    <t xml:space="preserve">Blue Dart Express Limited\2026829R00006958 31.08.26.pdf</t>
  </si>
  <si>
    <t xml:space="preserve">2026829R00006958</t>
  </si>
  <si>
    <t xml:space="preserve">29AAACB0446L1ZO</t>
  </si>
  <si>
    <t xml:space="preserve">Karnataka (29)</t>
  </si>
  <si>
    <t xml:space="preserve">a712c60e7dd3dd50dfb0b09ceb22f9644430207fee39ef406855fdb16d44a3e1</t>
  </si>
  <si>
    <t xml:space="preserve">Blue Dart Express Limited\2026829R00006959 31.08.26.pdf</t>
  </si>
  <si>
    <t xml:space="preserve">2026829R00006959</t>
  </si>
  <si>
    <t xml:space="preserve">Courier – SFC Standard – Aug-26</t>
  </si>
  <si>
    <t xml:space="preserve">218b687fbde4463a8a5961939c8683c71a79bcdf59f3914f14ce66e54732db9e</t>
  </si>
  <si>
    <t xml:space="preserve">Blue Dart Express Limited\2026806R00002352 31.08.26.pdf</t>
  </si>
  <si>
    <t xml:space="preserve">2026806R00002352</t>
  </si>
  <si>
    <t xml:space="preserve">f27896688b7a9b8aa04febab08a8729dcd9f6ab4b6d8dc8347f508cc61d8f47c</t>
  </si>
  <si>
    <t xml:space="preserve">DTDC Express Limited\CH0427TS002362 31.08.26.pdf</t>
  </si>
  <si>
    <t xml:space="preserve">CH0427TS002362</t>
  </si>
  <si>
    <t xml:space="preserve">DTDC Express Limited</t>
  </si>
  <si>
    <t xml:space="preserve">04AAACD8017H1Z0</t>
  </si>
  <si>
    <t xml:space="preserve">Courier services Aug-2026 (freight 1720.00, fuel 206.40)</t>
  </si>
  <si>
    <t xml:space="preserve">Chandigarh (04)</t>
  </si>
  <si>
    <t xml:space="preserve">04AAFCN6567R1ZP</t>
  </si>
  <si>
    <t xml:space="preserve">Client GL7838</t>
  </si>
  <si>
    <t xml:space="preserve">a5d8be5bc634f9ffc4b14ba3e3ccb1c9f5acf0130806a04c42fc24ab1fd1fe5b</t>
  </si>
  <si>
    <t xml:space="preserve">No RCM – invoice states reverse charge NO; CGST 9% + UTGST 9% charged. ITC eligible (check GSTR-2B). Due 30-09-2026.</t>
  </si>
  <si>
    <t xml:space="preserve">DTDC Express Limited\CT2227TS002711 31.08.26.pdf</t>
  </si>
  <si>
    <t xml:space="preserve">CT2227TS002711</t>
  </si>
  <si>
    <t xml:space="preserve">22AAACD8017H1Z2</t>
  </si>
  <si>
    <t xml:space="preserve">Courier services Aug-2026 (freight 68.00, fuel 8.16)</t>
  </si>
  <si>
    <t xml:space="preserve">3e73f241904d0372c8beb2d5a1de3b4c1ce3008c57cfbb473fffded3ba9984d4</t>
  </si>
  <si>
    <t xml:space="preserve">No RCM – invoice states reverse charge NO; IGST 18% charged. ITC eligible (check GSTR-2B). Due 30-09-2026.</t>
  </si>
  <si>
    <t xml:space="preserve">DTDC Express Limited\DL0727TS028007 31.08.26.pdf</t>
  </si>
  <si>
    <t xml:space="preserve">DL0727TS028007</t>
  </si>
  <si>
    <t xml:space="preserve">07AAACD8017H1ZU</t>
  </si>
  <si>
    <t xml:space="preserve">Courier services Aug-2026 (freight 8918.50, service 1221.60, fuel 1070.22)</t>
  </si>
  <si>
    <t xml:space="preserve">82411816c8ee391c7c830b035d283517dc07c9c0620b20031fb6ad2db20787d2</t>
  </si>
  <si>
    <t xml:space="preserve">No RCM – invoice states reverse charge NO; CGST 9% + SGST 9% charged. ITC eligible (check GSTR-2B). Due 30-09-2026.</t>
  </si>
  <si>
    <t xml:space="preserve">DTDC Express Limited\GA3027TS001462 31.08.26.pdf</t>
  </si>
  <si>
    <t xml:space="preserve">GA3027TS001462</t>
  </si>
  <si>
    <t xml:space="preserve">30AAACD8017H1Z5</t>
  </si>
  <si>
    <t xml:space="preserve">Courier services Aug-2026 (freight 728.00, fuel 87.36)</t>
  </si>
  <si>
    <t xml:space="preserve">Goa (30)</t>
  </si>
  <si>
    <t xml:space="preserve">a677aaba5213f1f087350e76188d2d10a506cdf19eb913aa5b03b0af438fe11a</t>
  </si>
  <si>
    <t xml:space="preserve">DTDC Express Limited\GJ2427TS012017 31.08.26.pdf</t>
  </si>
  <si>
    <t xml:space="preserve">GJ2427TS012017</t>
  </si>
  <si>
    <t xml:space="preserve">24AAACD8017H1ZY</t>
  </si>
  <si>
    <t xml:space="preserve">Courier services Aug-2026 (freight 1511.00, service 120.00, fuel 181.32)</t>
  </si>
  <si>
    <t xml:space="preserve">d53009efee463acfbf45f7576c55a6b81e0688f6e57af1b5e95e9fe7cfc765d7</t>
  </si>
  <si>
    <t xml:space="preserve">DTDC Express Limited\HR0627TS021205 31.08.26.pdf</t>
  </si>
  <si>
    <t xml:space="preserve">HR0627TS021205</t>
  </si>
  <si>
    <t xml:space="preserve">06AAACD8017H1ZW</t>
  </si>
  <si>
    <t xml:space="preserve">Courier services Aug-2026 (freight 36892.00, service 2869.20, fuel 4427.04)</t>
  </si>
  <si>
    <t xml:space="preserve">233c211dfe4a2d2b2ff495baa6bea8e8a984bdbdb737d18d07782ad1cb2de24d</t>
  </si>
  <si>
    <t xml:space="preserve">DTDC Express Limited\KA2927TS026614 31.08.26.pdf</t>
  </si>
  <si>
    <t xml:space="preserve">KA2927TS026614</t>
  </si>
  <si>
    <t xml:space="preserve">29AAACD8017H1ZO</t>
  </si>
  <si>
    <t xml:space="preserve">Courier services Aug-2026 (freight 2807.00, service 256.50, fuel 336.84)</t>
  </si>
  <si>
    <t xml:space="preserve">29AAFCN6567R1ZD</t>
  </si>
  <si>
    <t xml:space="preserve">a6e05074fba8b479f63e8577168e5f43a5d986a3a6fd24cda354a422123bf346</t>
  </si>
  <si>
    <t xml:space="preserve">DTDC Express Limited\MH2727TS036470 31.08.26.pdf</t>
  </si>
  <si>
    <t xml:space="preserve">MH2727TS036470</t>
  </si>
  <si>
    <t xml:space="preserve">27AAACD8017H1ZS</t>
  </si>
  <si>
    <t xml:space="preserve">Courier services Aug-2026 (freight 2656.50, service 157.74, fuel 318.78)</t>
  </si>
  <si>
    <t xml:space="preserve">Maharashtra (27)</t>
  </si>
  <si>
    <t xml:space="preserve">27AAFCN6567R1ZH</t>
  </si>
  <si>
    <t xml:space="preserve">bdb88c72750584a2d14c2a3518cf563f29bb6bcd02c5bfdeae91a8ae975f13d5</t>
  </si>
  <si>
    <t xml:space="preserve">DTDC Express Limited\MP2327TS009682 31.08.26.pdf</t>
  </si>
  <si>
    <t xml:space="preserve">MP2327TS009682</t>
  </si>
  <si>
    <t xml:space="preserve">23AAACD8017H1Z0</t>
  </si>
  <si>
    <t xml:space="preserve">Courier services Aug-2026 (freight 2266.00, service 93.29, fuel 271.92)</t>
  </si>
  <si>
    <t xml:space="preserve">Madhya Pradesh (23)</t>
  </si>
  <si>
    <t xml:space="preserve">c70a6ec360cc3e41f05100e7035aafe0e10df3f9c4489496bed304ca90610178</t>
  </si>
  <si>
    <t xml:space="preserve">DTDC Express Limited\RJ0827TS012536 31.08.26.pdf</t>
  </si>
  <si>
    <t xml:space="preserve">RJ0827TS012536</t>
  </si>
  <si>
    <t xml:space="preserve">08AAACD8017H1ZS</t>
  </si>
  <si>
    <t xml:space="preserve">Courier services Aug-2026 (freight 3392.00, service 248.11, fuel 407.04)</t>
  </si>
  <si>
    <t xml:space="preserve">0e0fbc84de68160cd99464bf4da9bebe11ef26f5b4c616ffb94c764d1b630d19</t>
  </si>
  <si>
    <t xml:space="preserve">DTDC Express Limited\TN3327TS022597 31.08.26.pdf</t>
  </si>
  <si>
    <t xml:space="preserve">TN3327TS022597</t>
  </si>
  <si>
    <t xml:space="preserve">33AAACD8017H1ZZ</t>
  </si>
  <si>
    <t xml:space="preserve">Courier services Aug-2026 (freight 3353.00, service 241.41, fuel 402.36)</t>
  </si>
  <si>
    <t xml:space="preserve">33AAFCN6567R1ZO</t>
  </si>
  <si>
    <t xml:space="preserve">3fa5566e5b85bc6c12de9e8a6001024df76c10a10d73b763e58664f08fc33637</t>
  </si>
  <si>
    <t xml:space="preserve">DTDC Express Limited\TS3627TS018501 31.08.26.pdf</t>
  </si>
  <si>
    <t xml:space="preserve">TS3627TS018501</t>
  </si>
  <si>
    <t xml:space="preserve">36AAACD8017H1ZT</t>
  </si>
  <si>
    <t xml:space="preserve">Courier services Aug-2026 (freight 2996.00, service 334.20, fuel 359.52)</t>
  </si>
  <si>
    <t xml:space="preserve">e607715849fffe6f215dfeb96bc1fbc881e9054c2cfad006cbf70ceeb0210753</t>
  </si>
  <si>
    <t xml:space="preserve">DTDC Express Limited\UP0927TS034334 31.08.26.pdf</t>
  </si>
  <si>
    <t xml:space="preserve">UP0927TS034334</t>
  </si>
  <si>
    <t xml:space="preserve">09AAACD8017H1ZQ</t>
  </si>
  <si>
    <t xml:space="preserve">Courier services Aug-2026 (freight 979.00, service 589.51, fuel 117.48)</t>
  </si>
  <si>
    <t xml:space="preserve">29b3d589dc2a0b23219363e5364dec55550ca8639d9ae0b65b3eddf95f033af9</t>
  </si>
  <si>
    <t xml:space="preserve">DTDC Express Limited\WB1927TS026418 31.08.26.pdf</t>
  </si>
  <si>
    <t xml:space="preserve">WB1927TS026418</t>
  </si>
  <si>
    <t xml:space="preserve">19AAACD8017H1ZP</t>
  </si>
  <si>
    <t xml:space="preserve">Courier services Aug-2026 (freight 3067.00, service 266.25, fuel 368.04)</t>
  </si>
  <si>
    <t xml:space="preserve">West Bengal (19)</t>
  </si>
  <si>
    <t xml:space="preserve">19AAFCN6567R7Z8</t>
  </si>
  <si>
    <t xml:space="preserve">5030a11e0813d5d62e64c1b7c42375ef504137e20898e896203aa43b7bc3e8bf</t>
  </si>
  <si>
    <t xml:space="preserve">DLF Home Developers Limited\2220007482 28.05.26.pdf</t>
  </si>
  <si>
    <t xml:space="preserve">2220007482</t>
  </si>
  <si>
    <t xml:space="preserve">07AACCD0037H1Z4</t>
  </si>
  <si>
    <t xml:space="preserve">Maintenance SH-51 DLF Mid Town Plaza 12.03.2026-31.03.2026 (1,133 sqft @ ₹32, pro-rata)</t>
  </si>
  <si>
    <t xml:space="preserve">995419</t>
  </si>
  <si>
    <t xml:space="preserve">Lease 1002300092</t>
  </si>
  <si>
    <t xml:space="preserve">bc650035668ebe04daa85345019ee48cfaa97770d436a7b1a60c8804e760adce</t>
  </si>
  <si>
    <t xml:space="preserve">Maintenance SH-51 DLF Mid Town Plaza 01.04.2026-30.04.2026</t>
  </si>
  <si>
    <t xml:space="preserve">SQFT</t>
  </si>
  <si>
    <t xml:space="preserve">Maintenance SH-51 DLF Mid Town Plaza 01.05.2026-31.05.2026</t>
  </si>
  <si>
    <t xml:space="preserve">DLF Home Developers Limited\2220011940 22.06.26.pdf</t>
  </si>
  <si>
    <t xml:space="preserve">2220011940</t>
  </si>
  <si>
    <t xml:space="preserve">Maintenance SH-51 DLF Mid Town Plaza 01.06.2026-30.06.2026</t>
  </si>
  <si>
    <t xml:space="preserve">0db234800dec32fd01cdad442d2b0a617dc4bd8c474c817a63d9d8268d81d358</t>
  </si>
  <si>
    <t xml:space="preserve">DLF Home Developers Limited\2210013655 08.07.26.pdf</t>
  </si>
  <si>
    <t xml:space="preserve">2210013655</t>
  </si>
  <si>
    <t xml:space="preserve">Rent (Retail) SH-51 DLF Mid Town Plaza 12.07.2026-31.07.2026 (1,133 sqft @ ₹400, pro-rata)</t>
  </si>
  <si>
    <t xml:space="preserve">eb84741ee2623d97fc6e31b44bbdfc5f1277f89cc57eb11a85e8e9b15ba40c6b</t>
  </si>
  <si>
    <t xml:space="preserve">DLF Home Developers Limited\2220016358 08.07.26.pdf</t>
  </si>
  <si>
    <t xml:space="preserve">2220016358</t>
  </si>
  <si>
    <t xml:space="preserve">Maintenance SH-51 DLF Mid Town Plaza 01.07.2026-31.07.2026</t>
  </si>
  <si>
    <t xml:space="preserve">c08b38f05669b0b1f6f1065422ad25954378e293e4d160ae60a87c5c0030d1df</t>
  </si>
  <si>
    <t xml:space="preserve">DLF Home Developers Limited\2210014043 16.07.26.pdf</t>
  </si>
  <si>
    <t xml:space="preserve">2210014043</t>
  </si>
  <si>
    <t xml:space="preserve">Rent – Revenue share 16% on general sales ₹3,82,826, 01.06.2026-30.06.2026</t>
  </si>
  <si>
    <t xml:space="preserve">DLF Home Developers Limited\220060004861 17.07.26.pdf</t>
  </si>
  <si>
    <t xml:space="preserve">220060004861</t>
  </si>
  <si>
    <t xml:space="preserve">EB up to June-26 – consumption 2,268 units @ ₹14.36 (meter 27160000)</t>
  </si>
  <si>
    <t xml:space="preserve">KWH</t>
  </si>
  <si>
    <t xml:space="preserve">Exempt (electricity)</t>
  </si>
  <si>
    <t xml:space="preserve">Electricity – exempt supply (Notif. 02/2017-CT(Rate) entry 104), no GST, no ITC.</t>
  </si>
  <si>
    <t xml:space="preserve">Electricity charges – TDS generally not applicable; confirm with CA.</t>
  </si>
  <si>
    <t xml:space="preserve">DLF Home Developers Limited\2210016694 01.08.26.pdf</t>
  </si>
  <si>
    <t xml:space="preserve">2210016694</t>
  </si>
  <si>
    <t xml:space="preserve">Rent (Retail) SH-51 DLF Mid Town Plaza 01.08.2026-31.08.2026</t>
  </si>
  <si>
    <t xml:space="preserve">7cf34c5472f559baaef7524a8f44c29a818cb4c479503bf9bf575cede6df50d3</t>
  </si>
  <si>
    <t xml:space="preserve">DLF Home Developers Limited\2220020581 01.08.26.pdf</t>
  </si>
  <si>
    <t xml:space="preserve">2220020581</t>
  </si>
  <si>
    <t xml:space="preserve">Maintenance SH-51 DLF Mid Town Plaza 01.08.2026-31.08.2026</t>
  </si>
  <si>
    <t xml:space="preserve">f26f869bacd5bf17fa030a9e1168e7685a559b91bb1e98f95d737b12a56442b7</t>
  </si>
  <si>
    <t xml:space="preserve">DLF Home Developers Limited\220060005850 05.08.26.pdf</t>
  </si>
  <si>
    <t xml:space="preserve">220060005850</t>
  </si>
  <si>
    <t xml:space="preserve">EB up to July-26 – consumption 2,322 units @ ₹14.36 (meter 27160000)</t>
  </si>
  <si>
    <t xml:space="preserve">DLF Home Developers Limited\220060006482 21.08.26.pdf</t>
  </si>
  <si>
    <t xml:space="preserve">220060006482</t>
  </si>
  <si>
    <t xml:space="preserve">EB – Additional load 14.07 kW @ ₹10,000</t>
  </si>
  <si>
    <t xml:space="preserve">KW</t>
  </si>
  <si>
    <t xml:space="preserve">33b22f2def0bdf8d2ef1e7f22c45c694a1b9e5686ee32ba7ccff7088c9c39477</t>
  </si>
  <si>
    <t xml:space="preserve">DLF Home Developers Limited\220040012052 23.09.26.pdf</t>
  </si>
  <si>
    <t xml:space="preserve">220040012052</t>
  </si>
  <si>
    <t xml:space="preserve">Electrical energy SH-51 01.08.2026-31.08.2026 – 2,132 units @ ₹14.36 (meter 27160000, reading 11053→13185)</t>
  </si>
  <si>
    <t xml:space="preserve">DLF Home Developers Limited\220060010971 24.09.26.pdf</t>
  </si>
  <si>
    <t xml:space="preserve">220060010971</t>
  </si>
  <si>
    <t xml:space="preserve">Revenue share Jul-26: 1-12 Jul ₹1,37,820 @16% &amp; 13-31 Jul ₹6,94,066 @16% (net of earlier billing)</t>
  </si>
  <si>
    <t xml:space="preserve">aa67f64cecc58ad15fd4318454a81de1c5dab41f9d9fa438ef3884c4392ed13f</t>
  </si>
  <si>
    <t xml:space="preserve">Surbhi Sethi\013-2026-27 17.09.26.pdf</t>
  </si>
  <si>
    <t xml:space="preserve">013/2026-27</t>
  </si>
  <si>
    <t xml:space="preserve">Surbhi Sethi</t>
  </si>
  <si>
    <t xml:space="preserve">07CGFPS5289G1ZV</t>
  </si>
  <si>
    <t xml:space="preserve">Influencer Marketing Activity for Nicobar</t>
  </si>
  <si>
    <t xml:space="preserve">998365</t>
  </si>
  <si>
    <t xml:space="preserve">Sec 393(1) – professional/advertising fees (old 194J), 10%. Nil now: ₹30,000 below ₹50,000 FY threshold; deduct if FY total exceeds it.</t>
  </si>
  <si>
    <t xml:space="preserve">Simran\1 24.09.26.pdf</t>
  </si>
  <si>
    <t xml:space="preserve">1</t>
  </si>
  <si>
    <t xml:space="preserve">Simran</t>
  </si>
  <si>
    <t xml:space="preserve">Modelling for fittings</t>
  </si>
  <si>
    <t xml:space="preserve">Delhi</t>
  </si>
  <si>
    <t xml:space="preserve">PAN QWZPS5661C</t>
  </si>
  <si>
    <t xml:space="preserve">No RCM – unregistered individual; modelling service not notified under Sec 9(3)/9(4). No GST, no ITC.</t>
  </si>
  <si>
    <t xml:space="preserve">Sec 393(1) – professional fees (old 194J), 10%. Nil now: ₹8,000 below ₹50,000 FY threshold. (Or 194C – confirm with CA.)</t>
  </si>
  <si>
    <t xml:space="preserve">V Dine Unit of VRSM Enterprises LLP\VDINEAUG02 01.08.26.pdf</t>
  </si>
  <si>
    <t xml:space="preserve">VDINEAUG02</t>
  </si>
  <si>
    <t xml:space="preserve">V Dine Unit of VRSM Enterprises LLP</t>
  </si>
  <si>
    <t xml:space="preserve">30AAOFV6519M2ZO</t>
  </si>
  <si>
    <t xml:space="preserve">Rent – store at Assagao, Goa (GAN) for Aug-2026</t>
  </si>
  <si>
    <t xml:space="preserve">GAN</t>
  </si>
  <si>
    <t xml:space="preserve">NBV03991</t>
  </si>
  <si>
    <t xml:space="preserve">4038001</t>
  </si>
  <si>
    <t xml:space="preserve">Nicobar PI26GAN0000065 (vendor NBV03991)</t>
  </si>
  <si>
    <t xml:space="preserve">No RCM – CGST 9% + SGST 9% shown. NOTE: source is Nicobar's internal Purchase Invoice voucher, not the supplier's tax invoice – obtain the original invoice for ITC.</t>
  </si>
  <si>
    <t xml:space="preserve">Clay Craft India Limited\MN-10087-26-27 26.09.26.pdf</t>
  </si>
  <si>
    <t xml:space="preserve">MN/10087/26-27</t>
  </si>
  <si>
    <t xml:space="preserve">FG004716</t>
  </si>
  <si>
    <t xml:space="preserve">NB Botanical Coasters 12 Set of 4 Pcs (NBI034275)</t>
  </si>
  <si>
    <t xml:space="preserve">26000000539</t>
  </si>
  <si>
    <t xml:space="preserve">10087</t>
  </si>
  <si>
    <t xml:space="preserve">10037</t>
  </si>
  <si>
    <t xml:space="preserve">21099</t>
  </si>
  <si>
    <t xml:space="preserve">MH43CK2130</t>
  </si>
  <si>
    <t xml:space="preserve">No RCM – forward charge; goods, IGST 5% charged by supplier. ITC eligible (check GSTR-2B). IRN/Ack/E-way bill not printed on the PDF. Terms Net-30; interest @18% after 45 days.</t>
  </si>
  <si>
    <t xml:space="preserve">FG004802</t>
  </si>
  <si>
    <t xml:space="preserve">NB Tribe Coasters 12 Set of 4 Pcs (NBI034276)</t>
  </si>
  <si>
    <t xml:space="preserve">Prezotech Solutions Pvt Ltd\INV-26-27-0901 30.06.26.pdf</t>
  </si>
  <si>
    <t xml:space="preserve">INV/26-27/0901</t>
  </si>
  <si>
    <t xml:space="preserve">Prezotech Solutions Pvt Ltd</t>
  </si>
  <si>
    <t xml:space="preserve">07AAICP6830G1ZB</t>
  </si>
  <si>
    <t xml:space="preserve">Prezotech Label 100x150mm CR (300/Labels) – sticker labels, single colour printed (Sticker Fragile Glass)</t>
  </si>
  <si>
    <t xml:space="preserve">48219010</t>
  </si>
  <si>
    <t xml:space="preserve">PO26000000590</t>
  </si>
  <si>
    <t xml:space="preserve">e6e026e23692210b38f9474a45de03e7f3b6de174a0833831a502c0a2d3cd7f2</t>
  </si>
  <si>
    <t xml:space="preserve">172620584106073</t>
  </si>
  <si>
    <t xml:space="preserve">2026-06-30 18:07</t>
  </si>
  <si>
    <t xml:space="preserve">No RCM – forward charge; goods, IGST 18% charged by supplier. ITC eligible (check GSTR-2B). Terms Net 30 – due 30-07-2026 (overdue; 2% p.m. charged beyond terms). ₹1,500 block charge is one-time (first order).</t>
  </si>
  <si>
    <t xml:space="preserve">Sec 393(1) – purchase of goods (old 194Q). Apply only if FY purchases from this supplier &gt; ₹50 L – nil assumed.</t>
  </si>
  <si>
    <t xml:space="preserve">Block charge – one-time charges</t>
  </si>
  <si>
    <t xml:space="preserve">84425090</t>
  </si>
  <si>
    <t xml:space="preserve">UNIT</t>
  </si>
  <si>
    <t xml:space="preserve">Gowri Parvathy\010 30.09.26.pdf</t>
  </si>
  <si>
    <t xml:space="preserve">010</t>
  </si>
  <si>
    <t xml:space="preserve">Gowri Parvathy</t>
  </si>
  <si>
    <t xml:space="preserve">1 collab reel + 2 months ad rights (Sept store ad)</t>
  </si>
  <si>
    <t xml:space="preserve">PAN GYNPP1895M</t>
  </si>
  <si>
    <t xml:space="preserve">No RCM – unregistered individual; influencer/advertising service not notified under Sec 9(3)/9(4). No GST, no ITC. PDF also contains PAN card and cancelled cheque (Federal Bank).</t>
  </si>
  <si>
    <t xml:space="preserve">Sec 393(1) – professional/advertising fees (old 194J), 10%. Nil now: ₹50,000 does not exceed the ₹50,000 FY threshold; deduct 10% if FY total exceeds it.</t>
  </si>
  <si>
    <t xml:space="preserve">A &amp; S Creations\065-2026-2027 26.09.26.pdf</t>
  </si>
  <si>
    <t xml:space="preserve">065/2026-2027</t>
  </si>
  <si>
    <t xml:space="preserve">A &amp; S Creations</t>
  </si>
  <si>
    <t xml:space="preserve">07ABNFA6509L1Z2</t>
  </si>
  <si>
    <t xml:space="preserve">Grazing Experience by Paris my Love – 25 pax (cheese, dips, breads, fruits, olives &amp; nuts) – 50% discount</t>
  </si>
  <si>
    <t xml:space="preserve">07AAFCN6567R2ZI</t>
  </si>
  <si>
    <t xml:space="preserve">GK2 store event 26-09-2026 – grazing table</t>
  </si>
  <si>
    <t xml:space="preserve">No RCM – GST @5% shown as one line; split here as CGST 2.5% + SGST 2.5% (intra-Delhi). Outdoor catering at 5% – ITC not available. Document titled "Invoice" (not "Tax Invoice"), no HSN/SAC, and buyer GSTIN printed as 07AAFCN6567R2ZI (Nicobar Delhi GSTIN is 07AAFCN6567R1ZJ) – ask supplier for a corrected tax invoice. 100% advance terms.</t>
  </si>
  <si>
    <t xml:space="preserve">Sec 393(1) – contract/catering (old 194C), 2% (firm). Nil now: ₹24,988 below ₹30,000 single-bill / ₹1 L FY threshold.</t>
  </si>
  <si>
    <t xml:space="preserve">Black olive tapenade – 50% discount</t>
  </si>
  <si>
    <t xml:space="preserve">PORTION</t>
  </si>
  <si>
    <t xml:space="preserve">Mushroom vol au vents – 50% discount</t>
  </si>
  <si>
    <t xml:space="preserve">Phyllo cups with tomato, basil topped with cream cheese – 50% discount</t>
  </si>
  <si>
    <t xml:space="preserve">Chicken quiche – 50% discount</t>
  </si>
  <si>
    <t xml:space="preserve">Smoked salmon canape – 50% discount</t>
  </si>
  <si>
    <t xml:space="preserve">Macarons – 50% discount</t>
  </si>
  <si>
    <t xml:space="preserve">Eclairs (vanilla, pistachio, coffee) – 50% discount</t>
  </si>
  <si>
    <t xml:space="preserve">Tarts (lemon + chocolate) – 50% discount</t>
  </si>
  <si>
    <t xml:space="preserve">Cushman &amp; Wakefield India Private Limited\MH-2026-09-2376 24.09.26.pdf</t>
  </si>
  <si>
    <t xml:space="preserve">MH-2026-09-2376</t>
  </si>
  <si>
    <t xml:space="preserve">27AAACC5006B1ZE</t>
  </si>
  <si>
    <t xml:space="preserve">Brokerage fee for sourcing lease space – Balvir Bungalow, Juhu Church Road, Juhu, Mumbai-400049 (1 month rent)</t>
  </si>
  <si>
    <t xml:space="preserve">997222</t>
  </si>
  <si>
    <t xml:space="preserve">APIPL_CUS_INV-2026-09-000008616</t>
  </si>
  <si>
    <t xml:space="preserve">a226be61f0033a3c65cb523b465c1b1d711d7218bd89cefaa62650d7e516747b</t>
  </si>
  <si>
    <t xml:space="preserve">No RCM – forward charge; CGST 9% + SGST 9% (Maharashtra). ITC eligible against 27AAFCN6567R1ZH (check GSTR-2B). Revised invoice (bill-to Juhu store) received 01-10-2026; earlier copy with Lower Parel address has the same no. &amp; IRN – not added. Net 30; 18% p.a. interest after. Nicobar email: realisation only once Juhu store goes live.</t>
  </si>
  <si>
    <t xml:space="preserve">Sec 393(1) – commission/brokerage (old 194H), 2%. Confirm with CA.</t>
  </si>
  <si>
    <t xml:space="preserve">Niva's Designs\ND-26-27-043A 29.08.26.pdf</t>
  </si>
  <si>
    <t xml:space="preserve">ND/26-27/043A</t>
  </si>
  <si>
    <t xml:space="preserve">Niva's Designs</t>
  </si>
  <si>
    <t xml:space="preserve">06BCAPS9611Q1Z0</t>
  </si>
  <si>
    <t xml:space="preserve">Fabric – Cotton Slub with Digital Print</t>
  </si>
  <si>
    <t xml:space="preserve">520819</t>
  </si>
  <si>
    <t xml:space="preserve">MTR</t>
  </si>
  <si>
    <t xml:space="preserve">PO26000000830</t>
  </si>
  <si>
    <t xml:space="preserve">Replaces ND/26-27/043 dt 29-07-2026 (cancelled by CN ND/26-27/CN3)</t>
  </si>
  <si>
    <t xml:space="preserve">No RCM – forward charge; goods, CGST 2.5% + SGST 2.5%. ITC eligible (check GSTR-2B). Re-issued to Haryana GSTIN – invoice says actual invoice date 29-07-2026. Original ND/26-27/043 (Delhi, IGST) cancelled by credit note ND/26-27/CN3 – not entered. PO no./date taken from email thread. Nicobar asked for LR copy for ₹650 freight. Terms 45 days.</t>
  </si>
  <si>
    <t xml:space="preserve">Fabric – 25 Lee with Digital Print (White Strip)</t>
  </si>
  <si>
    <t xml:space="preserve">Fabric – Cotton Duck with Digital Print</t>
  </si>
  <si>
    <t xml:space="preserve">Fabric – 10 Lee with Digital Print (Green Stripe)</t>
  </si>
  <si>
    <t xml:space="preserve">Freight &amp; forwarding charges</t>
  </si>
  <si>
    <t xml:space="preserve">996511</t>
  </si>
  <si>
    <t xml:space="preserve">Ambience Facilities Management Private Limited\CAF-10-34-26-27 01.10.26.pdf</t>
  </si>
  <si>
    <t xml:space="preserve">CAF/10/34/26-27</t>
  </si>
  <si>
    <t xml:space="preserve">Ambience Facilities Management Private Limited</t>
  </si>
  <si>
    <t xml:space="preserve">06AAICA8074F1ZM</t>
  </si>
  <si>
    <t xml:space="preserve">Common Area Maintenance charges – Shop G-20, Ambience Mall Gurugram – Oct-2026</t>
  </si>
  <si>
    <t xml:space="preserve">Shop G-20, Ambience Mall, Gurugram</t>
  </si>
  <si>
    <t xml:space="preserve">547d5661b70e3c82b732fcb558d32960d220e93278cc12d33b41974daa845bc7</t>
  </si>
  <si>
    <t xml:space="preserve">132629077599798</t>
  </si>
  <si>
    <t xml:space="preserve">2026-10-01</t>
  </si>
  <si>
    <t xml:space="preserve">No RCM – forward charge; CGST 9% + SGST 9% charged by supplier. ITC eligible (check GSTR-2B). Due 10-10-2026; 2% p.m. interest after due date.</t>
  </si>
  <si>
    <t xml:space="preserve">Ambience Developers &amp; Infrastructure Pvt Ltd\SFE-09-32-26-27 30.09.26.pdf</t>
  </si>
  <si>
    <t xml:space="preserve">SFE/09/32/26-27</t>
  </si>
  <si>
    <t xml:space="preserve">Ambience Developers &amp; Infrastructure Pvt Ltd</t>
  </si>
  <si>
    <t xml:space="preserve">06AAECA6894P1ZX</t>
  </si>
  <si>
    <t xml:space="preserve">Sinking fund charges towards electrical equipments &amp; energy systems – Shop G-20 (Sep-2026)</t>
  </si>
  <si>
    <t xml:space="preserve">996912</t>
  </si>
  <si>
    <t xml:space="preserve">UNITS</t>
  </si>
  <si>
    <t xml:space="preserve">52a7ae08f2f01328ef0a2efdd61a86a54a884ca8e580106b06520a7ed669fa36</t>
  </si>
  <si>
    <t xml:space="preserve">132629057383694</t>
  </si>
  <si>
    <t xml:space="preserve">2026-09-30</t>
  </si>
  <si>
    <t xml:space="preserve">No RCM – forward charge; CGST 9% + SGST 9% charged by supplier. ITC eligible (check GSTR-2B). Due 09-10-2026.</t>
  </si>
  <si>
    <t xml:space="preserve">Ambience Developers &amp; Infrastructure Pvt Ltd\EAD-09-32-26-27 30.09.26.pdf</t>
  </si>
  <si>
    <t xml:space="preserve">EAD/09/32/26-27</t>
  </si>
  <si>
    <t xml:space="preserve">Electricity charges – Shop G-20, 2,680 units (reading 20,156 → 22,836, 21-Aug-26 to 20-Sep-26) @ ₹8.72</t>
  </si>
  <si>
    <t xml:space="preserve">2716</t>
  </si>
  <si>
    <t xml:space="preserve">No GST (electricity)</t>
  </si>
  <si>
    <t xml:space="preserve">Energy bill – Shop G-20, Ambience Mall, Gurugram</t>
  </si>
  <si>
    <t xml:space="preserve">No GST – electricity supply is exempt; meter rent billed without GST. No ITC. Due 10-10-2026; 1.5% surcharge on late payment.</t>
  </si>
  <si>
    <t xml:space="preserve">Generally no TDS on electricity charges recovered at actuals; confirm with CA.</t>
  </si>
  <si>
    <t xml:space="preserve">Meter rent</t>
  </si>
  <si>
    <t xml:space="preserve">0000</t>
  </si>
  <si>
    <t xml:space="preserve">TOTAL</t>
  </si>
  <si>
    <t xml:space="preserve">Note: Round Off (₹0.20) taken from invoice – computed total ₹5,39,884.80 is rounded to ₹5,39,885.00 as printed. Source: Clay Craft India Limited\MN-10076-26-27 12.09.26.pdf</t>
  </si>
  <si>
    <t xml:space="preserve">Note: 06-26QV-NICOBAR (USD 12,151.60) converted at ₹95.8179/USD – RBI reference rate for 22-Sep-2026 (latest available; invoice dated 25-Sep-2026). Source: MSEI RBI reference rate archive. Update Rate (₹) formulas in rows 7–16 if customs/bank rate differs.</t>
  </si>
  <si>
    <t xml:space="preserve">Note: Anthropic, PBC invoices E87270F6-0001 to -0009 (USD 820.00 total) converted at RBI/FBIL reference rate for each invoice date: 22-Apr-26 ₹93.8351, 20-May-26 ₹96.8441, 23-Jul-26 ₹96.5431, 30-Jul-26 ₹95.7327, 17-Aug-26 ₹95.6019, 02-Sep-26 ₹94.9701, 03-Sep-26 ₹94.4688, 07-Sep-26 ₹94.4467. Replace with bank/card rate if different. IGST 18% payable under RCM.</t>
  </si>
  <si>
    <t xml:space="preserve">Note: Vraj EL-DG/0545/26-27 lines entered as LOT at the printed line amount (supplier rounds each line); units and rates shown in Description.</t>
  </si>
  <si>
    <t xml:space="preserve">Note: Hansa Elite Luxe Interiors debit note 008/2026-27 – line items add up to ₹25,853 but the note's printed total is ₹25,852; ₹-1 entered as Round Off. Debit note for reimbursement (no GST). Source: Hansa Elite Luxe Interiors Pvt Ltd\008-2026-27 09.09.26.pdf</t>
  </si>
  <si>
    <t xml:space="preserve">Note: V Dine Unit of VRSM Enterprises LLP VDINEAUG02 entered from Nicobar's internal Purchase Invoice voucher PI26GAN0000065 (printed total ₹2,70,000 is after TDS ₹25,000). Obtain the supplier's original tax invoice for ITC.</t>
  </si>
  <si>
    <t xml:space="preserve">Note: Trion Properties 3652264407 / 3652264564 – supplier rounds CGST/SGST to the rupee; differences (₹0.30 / ₹0.78) entered as Round Off. DLF 2210014043 – IRN not fully legible on PDF, left blank.</t>
  </si>
  <si>
    <t xml:space="preserve">Note: Shyam Spectra EHRI001161/25-26 is dated 01-Mar-2026 (FY 2025-26); bill also shows ₹21,240 previous balance not included here.</t>
  </si>
  <si>
    <t xml:space="preserve">Emails Not Scanned – invoice@nicobar.com</t>
  </si>
  <si>
    <t xml:space="preserve">Last Gmail scan: 01-10-2026 14:40 IST (window: 26-09-2026 21:59 IST to 01-10-2026 14:40 IST). Runs of 02-10-2026 10:41 IST and 03-10-2026 17:29 IST could NOT scan Gmail (connector not attached) – window 01-10-2026 14:40 to 03-10-2026 17:29 IST still to be scanned. Emails below were not downloaded, or were scanned but their PDFs were not added to the register. The scheduled task retries "Not downloaded" emails each run.</t>
  </si>
  <si>
    <t xml:space="preserve">A. Not downloaded – PDFs NOT in the register (action needed)</t>
  </si>
  <si>
    <t xml:space="preserve">#</t>
  </si>
  <si>
    <t xml:space="preserve">Email Date (IST)</t>
  </si>
  <si>
    <t xml:space="preserve">From</t>
  </si>
  <si>
    <t xml:space="preserve">To</t>
  </si>
  <si>
    <t xml:space="preserve">Cc</t>
  </si>
  <si>
    <t xml:space="preserve">Subject</t>
  </si>
  <si>
    <t xml:space="preserve">Size (MB)</t>
  </si>
  <si>
    <t xml:space="preserve">Status</t>
  </si>
  <si>
    <t xml:space="preserve">Reason</t>
  </si>
  <si>
    <t xml:space="preserve">Action Needed</t>
  </si>
  <si>
    <t xml:space="preserve">Gmail Message ID</t>
  </si>
  <si>
    <t xml:space="preserve">Open in Gmail</t>
  </si>
  <si>
    <t xml:space="preserve">Last Attempt (IST)</t>
  </si>
  <si>
    <t xml:space="preserve">rohitpundir@nicobar.com</t>
  </si>
  <si>
    <t xml:space="preserve">invoice@nicobar.com</t>
  </si>
  <si>
    <t xml:space="preserve">invoices</t>
  </si>
  <si>
    <t xml:space="preserve">Not downloaded</t>
  </si>
  <si>
    <t xml:space="preserve">Download failed again on 01-10-2026 – the Gmail connection times out (session expired) on this very large email (~12.7 MB). It contains 12 PDFs: invoice_IN-2026-0408358, 2026-27194 - Nicobar Design Pvt Ltd, nico bar Sept, Niobar invoice, SHPL-PI-03-26-27, 2966091990_Nicobar_HVAC_20260801, 100107669 (4), Abode Inn- Invoice Jaipur, 2966091990_Nicobar_HVAC, Aug Sep 2026, LNKD_INVOICE_511294839131, maneet_invoice-nicobar.</t>
  </si>
  <si>
    <t xml:space="preserve">Save its PDFs into D:\Claude_Sales\Expenses (any subfolder) – the next run files them – or ask the sender to resend in smaller emails (under ~5 MB each).</t>
  </si>
  <si>
    <t xml:space="preserve">1a0d201f04a25ddb</t>
  </si>
  <si>
    <t xml:space="preserve">Open email</t>
  </si>
  <si>
    <t xml:space="preserve">sanjaysharma@nicobar.com</t>
  </si>
  <si>
    <t xml:space="preserve">sachin@nicobar.com; shekharsingh@nicobar.com</t>
  </si>
  <si>
    <t xml:space="preserve">Invoices copy</t>
  </si>
  <si>
    <t xml:space="preserve">Download failed again on 01-10-2026 – the Gmail connection times out (session expired) on this very large email (~14.5 MB).</t>
  </si>
  <si>
    <t xml:space="preserve">Save its PDFs into D:\Claude_Sales\Expenses, or ask the sender to resend in smaller emails.</t>
  </si>
  <si>
    <t xml:space="preserve">1a0d7910bc5c3986</t>
  </si>
  <si>
    <t xml:space="preserve">prachisyal@nicobar.com</t>
  </si>
  <si>
    <t xml:space="preserve">sachin@nicobar.com</t>
  </si>
  <si>
    <t xml:space="preserve">scanned invoices</t>
  </si>
  <si>
    <t xml:space="preserve">Too large to download (~28.6 MB) – emails of 12–14 MB still time out, so it was skipped again on 01-10-2026.</t>
  </si>
  <si>
    <t xml:space="preserve">1a0d30cfb9b6e9da</t>
  </si>
  <si>
    <t xml:space="preserve">Re: scanned invoices</t>
  </si>
  <si>
    <t xml:space="preserve">Too large to download (~19.6 MB) – emails of 12–14 MB still time out, so it was skipped again on 01-10-2026. (The middle reply in this thread, 2.3 MB, WAS scanned: 12 DLF invoices + V Dine voucher added.)</t>
  </si>
  <si>
    <t xml:space="preserve">1a0d348710f4c2a0</t>
  </si>
  <si>
    <t xml:space="preserve">—</t>
  </si>
  <si>
    <t xml:space="preserve">— (Gmail not read)</t>
  </si>
  <si>
    <t xml:space="preserve">Gmail not scanned – Gmail connector not attached to this scheduled task</t>
  </si>
  <si>
    <t xml:space="preserve">Not scanned</t>
  </si>
  <si>
    <t xml:space="preserve">Gmail not scanned on 02-10-2026 or 03-10-2026 – no Gmail tools were available to these runs (connector not attached to the scheduled task). Scan window NOT covered: 01-10-2026 14:40 IST to 03-10-2026 17:29 IST. The watermark was not advanced, so the next successful run will search this window.</t>
  </si>
  <si>
    <t xml:space="preserve">Re-attach the Gmail connector (with access to invoice@nicobar.com) to the scheduled task "Auto-add new invoices to Expense Register".</t>
  </si>
  <si>
    <t xml:space="preserve">2026-10-03 17:29</t>
  </si>
  <si>
    <t xml:space="preserve">B. Scanned – PDFs not added to the register (for information)</t>
  </si>
  <si>
    <t xml:space="preserve">Fwd: Electricity Bill</t>
  </si>
  <si>
    <t xml:space="preserve">Scanned – not added</t>
  </si>
  <si>
    <t xml:space="preserve">Not billed to Nicobar: PSPCL electricity bill no. 50823959885 (a/c 3009140989) is in the name of Mr. Inderjeet Singh Dhillon; payable ₹24,947, due 21-Sep-2026.</t>
  </si>
  <si>
    <t xml:space="preserve">Pay/claim as landlord reimbursement if applicable; ask landlord for a GST invoice if needed.</t>
  </si>
  <si>
    <t xml:space="preserve">1a0d206d9ab92844</t>
  </si>
  <si>
    <t xml:space="preserve">Fwd: JCN Electricity Bill Payment Request for Aug-2026</t>
  </si>
  <si>
    <t xml:space="preserve">Not billed to Nicobar: two Jaipur (JVVNL) electricity bills in the names of Rajeshwar Singh (₹35,646) and Narendra Kumari (₹22,459), due 22-Sep-2026.</t>
  </si>
  <si>
    <t xml:space="preserve">Same as above – landlord/individual bills.</t>
  </si>
  <si>
    <t xml:space="preserve">1a0d206fd4b41ccc</t>
  </si>
  <si>
    <t xml:space="preserve">Fwd: PFA</t>
  </si>
  <si>
    <t xml:space="preserve">Scanned – duplicate</t>
  </si>
  <si>
    <t xml:space="preserve">All 9 PDFs (Anthropic E87270F6-0001 to -0009) are already in the register (S.No. 23–31).</t>
  </si>
  <si>
    <t xml:space="preserve">None.</t>
  </si>
  <si>
    <t xml:space="preserve">1a0d20671601042b</t>
  </si>
  <si>
    <t xml:space="preserve">Fwd: DPS BILL NMN</t>
  </si>
  <si>
    <t xml:space="preserve">DPS Telecom 09-UPTIN26003027 is already in the register (S.No. 14).</t>
  </si>
  <si>
    <t xml:space="preserve">1a0d205577740520</t>
  </si>
  <si>
    <t xml:space="preserve">Fwd: Invoices</t>
  </si>
  <si>
    <t xml:space="preserve">All 3 Vraj Commercial invoices (CH/0562, EL-DG/0545, Rent/0613) are already in the register (S.No. 15–22).</t>
  </si>
  <si>
    <t xml:space="preserve">1a0d2069e10849b4</t>
  </si>
  <si>
    <t xml:space="preserve">himanshu@nicobar.com</t>
  </si>
  <si>
    <t xml:space="preserve">Fwd: FW: DTDC Freight Invoice For The Month Of Aug-26 (NICOBAR DESIGN PRIVATE LIMITED)</t>
  </si>
  <si>
    <t xml:space="preserve">Second copy of the same 14 DTDC PDFs; the first email in the thread was added.</t>
  </si>
  <si>
    <t xml:space="preserve">1a0d33e26521b364</t>
  </si>
  <si>
    <t xml:space="preserve">Fwd: Payout | Surbhi Sethi | Sept</t>
  </si>
  <si>
    <t xml:space="preserve">Scanned – partly added</t>
  </si>
  <si>
    <t xml:space="preserve">Invoice 013/2026-27 was added. The other 2 PDFs (GST registration certificate, cancelled cheque + PAN) are supporting documents, not invoices.</t>
  </si>
  <si>
    <t xml:space="preserve">1a0d70bed2fc365a</t>
  </si>
  <si>
    <t xml:space="preserve">Fwd: FW: Blue Dart Invoice for month of AUGUST 2026 - FAR322055</t>
  </si>
  <si>
    <t xml:space="preserve">7 invoices were added. The "CovReport" PDF is a statement/cover summary (total ₹58,559.18), not an invoice.</t>
  </si>
  <si>
    <t xml:space="preserve">1a0d33e6fd2816a4</t>
  </si>
  <si>
    <t xml:space="preserve">sachin@nicobar.com (fwd from Mohit Jaiswal)</t>
  </si>
  <si>
    <t xml:space="preserve">FW: Monthly closing Sep26</t>
  </si>
  <si>
    <t xml:space="preserve">Not billed to Nicobar: IPinfo Inc. invoice 3MNDSIX0-0003 dated 06-06-2026 (US$481.40) is billed to "Shashi Kapoor" (an individual), not Nicobar Design Pvt Ltd.</t>
  </si>
  <si>
    <t xml:space="preserve">Ask IPinfo to reissue the invoice in Nicobar Design Pvt Ltd name (with GSTIN) if it is to be booked; otherwise save it into D:\Claude_Sales\Expenses and confirm.</t>
  </si>
  <si>
    <t xml:space="preserve">1a0f6b74723eef83</t>
  </si>
  <si>
    <t xml:space="preserve">sachin@nicobar.com (fwd from Archana Roy)</t>
  </si>
  <si>
    <t xml:space="preserve">FW: NICOBAR DEAL @ JUHU BROKERAGE FEE CONFIRMATION</t>
  </si>
  <si>
    <t xml:space="preserve">Earlier copy of Cushman &amp; Wakefield invoice MH-2026-09-2376 (Lower Parel bill-to address); same invoice no. and IRN as the revised invoice that WAS added from the 01-10-2026 email.</t>
  </si>
  <si>
    <t xml:space="preserve">1a0f6b798b0b622f</t>
  </si>
  <si>
    <t xml:space="preserve">sachin@nicobar.com (fwd from MKR APP)</t>
  </si>
  <si>
    <t xml:space="preserve">FW: Request for Account Statement – April 2026 to Date</t>
  </si>
  <si>
    <t xml:space="preserve">GL_26-27.pdf is an account statement, not an invoice. MKR says invoices MKR/26-27/8 (15-07-2026) and MKR/26-27/12 (15-09-2026) are not in Nicobar records – neither invoice PDF was attached.</t>
  </si>
  <si>
    <t xml:space="preserve">Ask MKR APP (P) Ltd for copies of MKR/26-27/8 and /12 and save them into D:\Claude_Sales\Expenses.</t>
  </si>
  <si>
    <t xml:space="preserve">1a0f6b4c4a7b2435</t>
  </si>
  <si>
    <t xml:space="preserve">sachin@nicobar.com (fwd from Niva's Designs)</t>
  </si>
  <si>
    <t xml:space="preserve">FW: RE: NIVAS DESIGNS_Outstanding Payments as on 10-06-2026</t>
  </si>
  <si>
    <t xml:space="preserve">Invoice ND/26-27/043A (Haryana, ₹35,539) was added. ND/26-27/043 dated 29-07-2026 (Delhi, IGST) was not added because credit note ND/26-27/CN3 cancels it (credit notes are not entered).</t>
  </si>
  <si>
    <t xml:space="preserve">1a0f6b78bc5359c3</t>
  </si>
  <si>
    <t xml:space="preserve">Last Gmail scan: 01-10-2026 14:40 IST (window: 26-09-2026 21:59 IST to 01-10-2026 14:40 IST). Runs of 02-10-2026 10:41 IST, 03-10-2026 17:29 IST and 04-10-2026 09:13 IST could NOT scan Gmail (connector not attached) – window 01-10-2026 14:40 to 04-10-2026 09:13 IST still to be scanned. Emails below were not downloaded, or were scanned but their PDFs were not added to the register. The scheduled task retries "Not downloaded" emails each run.</t>
  </si>
  <si>
    <t xml:space="preserve">Gmail not scanned on 02-10-2026, 03-10-2026 or 04-10-2026 – no Gmail tools were available to these runs (connector not attached to the scheduled task). Scan window NOT covered: 01-10-2026 14:40 IST to 04-10-2026 09:13 IST. The watermark was not advanced, so the next successful run will search this window.</t>
  </si>
  <si>
    <t xml:space="preserve">2026-10-04 09:13</t>
  </si>
</sst>
</file>

<file path=xl/styles.xml><?xml version="1.0" encoding="utf-8"?>
<styleSheet xmlns="http://schemas.openxmlformats.org/spreadsheetml/2006/main">
  <numFmts count="17">
    <numFmt numFmtId="164" formatCode="General"/>
    <numFmt numFmtId="165" formatCode="dd\-mmm\-yyyy"/>
    <numFmt numFmtId="166" formatCode="[&gt;=10000000]\₹##\,##\,##\,##0.00;[&gt;=100000]\₹##\,##\,##0.00;\₹##,##0.00"/>
    <numFmt numFmtId="167" formatCode="[&gt;=10000000]\₹##\,##\,##\,##0;[&gt;=100000]\₹##\,##\,##0;\₹##,##0"/>
    <numFmt numFmtId="168" formatCode="0&quot; invoices&quot;"/>
    <numFmt numFmtId="169" formatCode="0&quot; line items&quot;"/>
    <numFmt numFmtId="170" formatCode="General"/>
    <numFmt numFmtId="171" formatCode="0.0%"/>
    <numFmt numFmtId="172" formatCode="mmm\ yyyy"/>
    <numFmt numFmtId="173" formatCode="0.00"/>
    <numFmt numFmtId="174" formatCode="#,##0"/>
    <numFmt numFmtId="175" formatCode="dd\-mm\-yyyy"/>
    <numFmt numFmtId="176" formatCode="0"/>
    <numFmt numFmtId="177" formatCode="0%"/>
    <numFmt numFmtId="178" formatCode="@"/>
    <numFmt numFmtId="179" formatCode="dd\-mm\-yyyy\ hh:mm"/>
    <numFmt numFmtId="180" formatCode="0.0"/>
  </numFmts>
  <fonts count="37">
    <font>
      <sz val="11"/>
      <color theme="1"/>
      <name val="Calibri"/>
      <family val="2"/>
      <charset val="1"/>
    </font>
    <font>
      <sz val="10"/>
      <name val="Arial"/>
      <family val="0"/>
    </font>
    <font>
      <sz val="10"/>
      <name val="Arial"/>
      <family val="0"/>
    </font>
    <font>
      <sz val="10"/>
      <name val="Arial"/>
      <family val="0"/>
    </font>
    <font>
      <b val="true"/>
      <sz val="9"/>
      <color rgb="FF77857F"/>
      <name val="Calibri"/>
      <family val="0"/>
      <charset val="1"/>
    </font>
    <font>
      <b val="true"/>
      <sz val="20"/>
      <color rgb="FF13201C"/>
      <name val="Calibri"/>
      <family val="0"/>
      <charset val="1"/>
    </font>
    <font>
      <sz val="9"/>
      <color rgb="FF77857F"/>
      <name val="Calibri"/>
      <family val="0"/>
      <charset val="1"/>
    </font>
    <font>
      <sz val="9"/>
      <color rgb="FF4D5C57"/>
      <name val="Calibri"/>
      <family val="0"/>
      <charset val="1"/>
    </font>
    <font>
      <b val="true"/>
      <sz val="9"/>
      <color rgb="FF4D5C57"/>
      <name val="Calibri"/>
      <family val="0"/>
      <charset val="1"/>
    </font>
    <font>
      <b val="true"/>
      <sz val="16"/>
      <color rgb="FF12705E"/>
      <name val="Calibri"/>
      <family val="0"/>
      <charset val="1"/>
    </font>
    <font>
      <b val="true"/>
      <sz val="16"/>
      <color rgb="FF13201C"/>
      <name val="Calibri"/>
      <family val="0"/>
      <charset val="1"/>
    </font>
    <font>
      <b val="true"/>
      <sz val="12"/>
      <color rgb="FF13201C"/>
      <name val="Calibri"/>
      <family val="0"/>
      <charset val="1"/>
    </font>
    <font>
      <sz val="10"/>
      <color rgb="FF0000FF"/>
      <name val="Calibri"/>
      <family val="0"/>
      <charset val="1"/>
    </font>
    <font>
      <sz val="10"/>
      <color rgb="FF13201C"/>
      <name val="Calibri"/>
      <family val="0"/>
      <charset val="1"/>
    </font>
    <font>
      <i val="true"/>
      <sz val="10"/>
      <color rgb="FF4D5C57"/>
      <name val="Calibri"/>
      <family val="0"/>
      <charset val="1"/>
    </font>
    <font>
      <b val="true"/>
      <sz val="11"/>
      <name val="Calibri"/>
      <family val="0"/>
      <charset val="1"/>
    </font>
    <font>
      <i val="true"/>
      <sz val="8"/>
      <color rgb="FF77857F"/>
      <name val="Calibri"/>
      <family val="0"/>
      <charset val="1"/>
    </font>
    <font>
      <b val="true"/>
      <sz val="9"/>
      <name val="Calibri"/>
      <family val="0"/>
      <charset val="1"/>
    </font>
    <font>
      <b val="true"/>
      <sz val="9"/>
      <color rgb="FFB3261E"/>
      <name val="Calibri"/>
      <family val="0"/>
      <charset val="1"/>
    </font>
    <font>
      <b val="true"/>
      <sz val="9"/>
      <color rgb="FF9A5B00"/>
      <name val="Calibri"/>
      <family val="0"/>
      <charset val="1"/>
    </font>
    <font>
      <b val="true"/>
      <sz val="9"/>
      <color rgb="FF2A5DB0"/>
      <name val="Calibri"/>
      <family val="0"/>
      <charset val="1"/>
    </font>
    <font>
      <b val="true"/>
      <sz val="9"/>
      <color rgb="FF1F6B36"/>
      <name val="Calibri"/>
      <family val="0"/>
      <charset val="1"/>
    </font>
    <font>
      <b val="true"/>
      <sz val="18"/>
      <color rgb="FF000000"/>
      <name val="Calibri"/>
      <family val="2"/>
    </font>
    <font>
      <sz val="10"/>
      <color rgb="FF000000"/>
      <name val="Calibri"/>
      <family val="2"/>
    </font>
    <font>
      <b val="true"/>
      <sz val="14"/>
      <name val="Arial"/>
      <family val="0"/>
      <charset val="1"/>
    </font>
    <font>
      <sz val="11"/>
      <color theme="1"/>
      <name val="Arial"/>
      <family val="0"/>
      <charset val="1"/>
    </font>
    <font>
      <i val="true"/>
      <sz val="9"/>
      <color rgb="FF595959"/>
      <name val="Arial"/>
      <family val="0"/>
      <charset val="1"/>
    </font>
    <font>
      <b val="true"/>
      <sz val="11"/>
      <color rgb="FFFFFFFF"/>
      <name val="Arial"/>
      <family val="0"/>
      <charset val="1"/>
    </font>
    <font>
      <sz val="11"/>
      <color rgb="FF0000FF"/>
      <name val="Arial"/>
      <family val="0"/>
      <charset val="1"/>
    </font>
    <font>
      <sz val="11"/>
      <color rgb="FF000000"/>
      <name val="Arial"/>
      <family val="0"/>
      <charset val="1"/>
    </font>
    <font>
      <b val="true"/>
      <sz val="11"/>
      <name val="Arial"/>
      <family val="0"/>
      <charset val="1"/>
    </font>
    <font>
      <sz val="9"/>
      <color rgb="FF595959"/>
      <name val="Arial"/>
      <family val="0"/>
      <charset val="1"/>
    </font>
    <font>
      <b val="true"/>
      <sz val="11"/>
      <color rgb="FF1F4E78"/>
      <name val="Arial"/>
      <family val="0"/>
      <charset val="1"/>
    </font>
    <font>
      <b val="true"/>
      <sz val="10"/>
      <color rgb="FFFFFFFF"/>
      <name val="Arial"/>
      <family val="0"/>
      <charset val="1"/>
    </font>
    <font>
      <sz val="10"/>
      <name val="Arial"/>
      <family val="0"/>
      <charset val="1"/>
    </font>
    <font>
      <b val="true"/>
      <sz val="10"/>
      <color rgb="FFC00000"/>
      <name val="Arial"/>
      <family val="0"/>
      <charset val="1"/>
    </font>
    <font>
      <u val="single"/>
      <sz val="10"/>
      <color rgb="FF0563C1"/>
      <name val="Arial"/>
      <family val="0"/>
      <charset val="1"/>
    </font>
  </fonts>
  <fills count="8">
    <fill>
      <patternFill patternType="none"/>
    </fill>
    <fill>
      <patternFill patternType="gray125"/>
    </fill>
    <fill>
      <patternFill patternType="solid">
        <fgColor rgb="FFEEF2F0"/>
        <bgColor rgb="FFDFF1E3"/>
      </patternFill>
    </fill>
    <fill>
      <patternFill patternType="solid">
        <fgColor rgb="FFFBE4E2"/>
        <bgColor rgb="FFFDF1DC"/>
      </patternFill>
    </fill>
    <fill>
      <patternFill patternType="solid">
        <fgColor rgb="FFFDF1DC"/>
        <bgColor rgb="FFFBE4E2"/>
      </patternFill>
    </fill>
    <fill>
      <patternFill patternType="solid">
        <fgColor rgb="FFE1EAFA"/>
        <bgColor rgb="FFDFF1E3"/>
      </patternFill>
    </fill>
    <fill>
      <patternFill patternType="solid">
        <fgColor rgb="FFDFF1E3"/>
        <bgColor rgb="FFEEF2F0"/>
      </patternFill>
    </fill>
    <fill>
      <patternFill patternType="solid">
        <fgColor rgb="FF1F4E78"/>
        <bgColor rgb="FF2A5DB0"/>
      </patternFill>
    </fill>
  </fills>
  <borders count="4">
    <border diagonalUp="false" diagonalDown="false">
      <left/>
      <right/>
      <top/>
      <bottom/>
      <diagonal/>
    </border>
    <border diagonalUp="false" diagonalDown="false">
      <left/>
      <right/>
      <top/>
      <bottom style="thin">
        <color rgb="FFDDE4E1"/>
      </bottom>
      <diagonal/>
    </border>
    <border diagonalUp="false" diagonalDown="false">
      <left/>
      <right/>
      <top style="thin">
        <color rgb="FFDDE4E1"/>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left" vertical="bottom" textRotation="0" wrapText="false" indent="0" shrinkToFit="false"/>
      <protection locked="true" hidden="false"/>
    </xf>
    <xf numFmtId="164" fontId="8" fillId="2" borderId="0" xfId="0" applyFont="true" applyBorder="true" applyAlignment="true" applyProtection="true">
      <alignment horizontal="left" vertical="bottom" textRotation="0" wrapText="false" indent="0" shrinkToFit="false"/>
      <protection locked="true" hidden="false"/>
    </xf>
    <xf numFmtId="166" fontId="9" fillId="2" borderId="0" xfId="0" applyFont="true" applyBorder="false" applyAlignment="true" applyProtection="true">
      <alignment horizontal="left" vertical="bottom" textRotation="0" wrapText="false" indent="0" shrinkToFit="false"/>
      <protection locked="true" hidden="false"/>
    </xf>
    <xf numFmtId="166" fontId="10" fillId="2" borderId="0" xfId="0" applyFont="true" applyBorder="true" applyAlignment="true" applyProtection="true">
      <alignment horizontal="left" vertical="bottom" textRotation="0" wrapText="false" indent="0" shrinkToFit="false"/>
      <protection locked="true" hidden="false"/>
    </xf>
    <xf numFmtId="166" fontId="10" fillId="2" borderId="0" xfId="0" applyFont="true" applyBorder="false" applyAlignment="true" applyProtection="true">
      <alignment horizontal="left" vertical="bottom" textRotation="0" wrapText="false" indent="0" shrinkToFit="false"/>
      <protection locked="true" hidden="false"/>
    </xf>
    <xf numFmtId="167" fontId="10" fillId="2" borderId="0" xfId="0" applyFont="true" applyBorder="true" applyAlignment="true" applyProtection="true">
      <alignment horizontal="left"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8" fontId="6" fillId="2" borderId="0" xfId="0" applyFont="true" applyBorder="false" applyAlignment="true" applyProtection="true">
      <alignment horizontal="left" vertical="bottom" textRotation="0" wrapText="false" indent="0" shrinkToFit="false"/>
      <protection locked="true" hidden="false"/>
    </xf>
    <xf numFmtId="169" fontId="6" fillId="2" borderId="0" xfId="0" applyFont="true" applyBorder="false" applyAlignment="true" applyProtection="true">
      <alignment horizontal="lef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70" fontId="13" fillId="0" borderId="0" xfId="0" applyFont="true" applyBorder="false" applyAlignment="true" applyProtection="true">
      <alignment horizontal="general" vertical="bottom" textRotation="0" wrapText="false" indent="0" shrinkToFit="false"/>
      <protection locked="true" hidden="false"/>
    </xf>
    <xf numFmtId="171" fontId="13" fillId="0" borderId="0" xfId="0" applyFont="true" applyBorder="false" applyAlignment="true" applyProtection="true">
      <alignment horizontal="general" vertical="bottom" textRotation="0" wrapText="false" indent="0" shrinkToFit="false"/>
      <protection locked="true" hidden="false"/>
    </xf>
    <xf numFmtId="172" fontId="13" fillId="0" borderId="0" xfId="0" applyFont="true" applyBorder="false" applyAlignment="true" applyProtection="true">
      <alignment horizontal="general" vertical="bottom" textRotation="0" wrapText="false" indent="0" shrinkToFit="false"/>
      <protection locked="true" hidden="false"/>
    </xf>
    <xf numFmtId="173"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2" xfId="0" applyFont="true" applyBorder="true" applyAlignment="true" applyProtection="true">
      <alignment horizontal="general" vertical="bottom" textRotation="0" wrapText="false" indent="0" shrinkToFit="false"/>
      <protection locked="true" hidden="false"/>
    </xf>
    <xf numFmtId="167" fontId="15" fillId="0" borderId="2" xfId="0" applyFont="true" applyBorder="true" applyAlignment="true" applyProtection="true">
      <alignment horizontal="general" vertical="bottom" textRotation="0" wrapText="false" indent="0" shrinkToFit="false"/>
      <protection locked="true" hidden="false"/>
    </xf>
    <xf numFmtId="171" fontId="15" fillId="0" borderId="2"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73" fontId="15" fillId="0" borderId="2" xfId="0" applyFont="true" applyBorder="tru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6" fontId="15" fillId="0" borderId="2"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9" fillId="4" borderId="0" xfId="0" applyFont="true" applyBorder="false" applyAlignment="true" applyProtection="true">
      <alignment horizontal="center" vertical="center" textRotation="0" wrapText="false" indent="0" shrinkToFit="false"/>
      <protection locked="true" hidden="false"/>
    </xf>
    <xf numFmtId="164" fontId="20" fillId="5" borderId="0" xfId="0" applyFont="true" applyBorder="false" applyAlignment="true" applyProtection="true">
      <alignment horizontal="center" vertical="center" textRotation="0" wrapText="false" indent="0" shrinkToFit="false"/>
      <protection locked="true" hidden="false"/>
    </xf>
    <xf numFmtId="164" fontId="21" fillId="6"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7" borderId="3" xfId="0" applyFont="true" applyBorder="true" applyAlignment="true" applyProtection="true">
      <alignment horizontal="center" vertical="center" textRotation="0" wrapText="false" indent="0" shrinkToFit="false"/>
      <protection locked="true" hidden="false"/>
    </xf>
    <xf numFmtId="164" fontId="28" fillId="0" borderId="3" xfId="0" applyFont="true" applyBorder="true" applyAlignment="true" applyProtection="true">
      <alignment horizontal="general" vertical="top" textRotation="0" wrapText="false" indent="0" shrinkToFit="false"/>
      <protection locked="true" hidden="false"/>
    </xf>
    <xf numFmtId="175" fontId="28" fillId="0" borderId="3" xfId="0" applyFont="true" applyBorder="true" applyAlignment="true" applyProtection="true">
      <alignment horizontal="general" vertical="top" textRotation="0" wrapText="false" indent="0" shrinkToFit="false"/>
      <protection locked="true" hidden="false"/>
    </xf>
    <xf numFmtId="176" fontId="29" fillId="0" borderId="3" xfId="0" applyFont="true" applyBorder="true" applyAlignment="true" applyProtection="true">
      <alignment horizontal="general" vertical="top" textRotation="0" wrapText="false" indent="0" shrinkToFit="false"/>
      <protection locked="true" hidden="false"/>
    </xf>
    <xf numFmtId="164" fontId="29" fillId="0" borderId="3" xfId="0" applyFont="true" applyBorder="true" applyAlignment="true" applyProtection="true">
      <alignment horizontal="general" vertical="top" textRotation="0" wrapText="false" indent="0" shrinkToFit="false"/>
      <protection locked="true" hidden="false"/>
    </xf>
    <xf numFmtId="166" fontId="28" fillId="0" borderId="3" xfId="0" applyFont="true" applyBorder="true" applyAlignment="true" applyProtection="true">
      <alignment horizontal="general" vertical="top" textRotation="0" wrapText="false" indent="0" shrinkToFit="false"/>
      <protection locked="true" hidden="false"/>
    </xf>
    <xf numFmtId="166" fontId="29" fillId="0" borderId="3" xfId="0" applyFont="true" applyBorder="true" applyAlignment="true" applyProtection="true">
      <alignment horizontal="general" vertical="top" textRotation="0" wrapText="false" indent="0" shrinkToFit="false"/>
      <protection locked="true" hidden="false"/>
    </xf>
    <xf numFmtId="177" fontId="28" fillId="0" borderId="3" xfId="0" applyFont="true" applyBorder="true" applyAlignment="true" applyProtection="true">
      <alignment horizontal="general" vertical="top" textRotation="0" wrapText="false" indent="0" shrinkToFit="false"/>
      <protection locked="true" hidden="false"/>
    </xf>
    <xf numFmtId="171" fontId="28" fillId="0" borderId="3" xfId="0" applyFont="true" applyBorder="true" applyAlignment="true" applyProtection="true">
      <alignment horizontal="general" vertical="top" textRotation="0" wrapText="false" indent="0" shrinkToFit="false"/>
      <protection locked="true" hidden="false"/>
    </xf>
    <xf numFmtId="178" fontId="28" fillId="0" borderId="3" xfId="0" applyFont="true" applyBorder="true" applyAlignment="true" applyProtection="true">
      <alignment horizontal="general" vertical="top"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6" fontId="30" fillId="0" borderId="3"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3" fillId="7" borderId="3" xfId="0" applyFont="true" applyBorder="true" applyAlignment="true" applyProtection="true">
      <alignment horizontal="general" vertical="center" textRotation="0" wrapText="false" indent="0" shrinkToFit="false"/>
      <protection locked="true" hidden="false"/>
    </xf>
    <xf numFmtId="164" fontId="34" fillId="0" borderId="3" xfId="0" applyFont="true" applyBorder="true" applyAlignment="true" applyProtection="true">
      <alignment horizontal="general" vertical="top" textRotation="0" wrapText="false" indent="0" shrinkToFit="false"/>
      <protection locked="true" hidden="false"/>
    </xf>
    <xf numFmtId="179" fontId="34" fillId="0" borderId="3" xfId="0" applyFont="true" applyBorder="true" applyAlignment="true" applyProtection="true">
      <alignment horizontal="general" vertical="top" textRotation="0" wrapText="false" indent="0" shrinkToFit="false"/>
      <protection locked="true" hidden="false"/>
    </xf>
    <xf numFmtId="180" fontId="34" fillId="0" borderId="3" xfId="0" applyFont="true" applyBorder="true" applyAlignment="true" applyProtection="true">
      <alignment horizontal="general" vertical="top" textRotation="0" wrapText="false" indent="0" shrinkToFit="false"/>
      <protection locked="true" hidden="false"/>
    </xf>
    <xf numFmtId="164" fontId="35" fillId="0" borderId="3" xfId="0" applyFont="true" applyBorder="true" applyAlignment="true" applyProtection="true">
      <alignment horizontal="general" vertical="top" textRotation="0" wrapText="false" indent="0" shrinkToFit="false"/>
      <protection locked="true" hidden="false"/>
    </xf>
    <xf numFmtId="164" fontId="36" fillId="0" borderId="3" xfId="0" applyFont="true" applyBorder="true" applyAlignment="true" applyProtection="true">
      <alignment horizontal="general" vertical="top" textRotation="0" wrapText="false" indent="0" shrinkToFit="false"/>
      <protection locked="true" hidden="false"/>
    </xf>
    <xf numFmtId="178" fontId="34" fillId="0" borderId="3"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1F6B36"/>
      <rgbColor rgb="FF000080"/>
      <rgbColor rgb="FF9A5B00"/>
      <rgbColor rgb="FF800080"/>
      <rgbColor rgb="FF12705E"/>
      <rgbColor rgb="FFBFBFBF"/>
      <rgbColor rgb="FF77857F"/>
      <rgbColor rgb="FF9999FF"/>
      <rgbColor rgb="FF993366"/>
      <rgbColor rgb="FFFDF1DC"/>
      <rgbColor rgb="FFE1EAF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EF2F0"/>
      <rgbColor rgb="FFDFF1E3"/>
      <rgbColor rgb="FFDDE4E1"/>
      <rgbColor rgb="FF99CCFF"/>
      <rgbColor rgb="FFFF99CC"/>
      <rgbColor rgb="FFCC99FF"/>
      <rgbColor rgb="FFFBE4E2"/>
      <rgbColor rgb="FF2A5DB0"/>
      <rgbColor rgb="FF33CCCC"/>
      <rgbColor rgb="FF99CC00"/>
      <rgbColor rgb="FFFFCC00"/>
      <rgbColor rgb="FFFF9900"/>
      <rgbColor rgb="FFFF6600"/>
      <rgbColor rgb="FF595959"/>
      <rgbColor rgb="FFB3B3B3"/>
      <rgbColor rgb="FF003366"/>
      <rgbColor rgb="FF339966"/>
      <rgbColor rgb="FF13201C"/>
      <rgbColor rgb="FF333300"/>
      <rgbColor rgb="FFB3261E"/>
      <rgbColor rgb="FF993366"/>
      <rgbColor rgb="FF1F4E78"/>
      <rgbColor rgb="FF4D5C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800" spc="-1" strike="noStrike">
                <a:solidFill>
                  <a:srgbClr val="000000"/>
                </a:solidFill>
                <a:latin typeface="Calibri"/>
              </a:defRPr>
            </a:pPr>
            <a:r>
              <a:rPr b="1" lang="en-IN" sz="1800" spc="-1" strike="noStrike">
                <a:solidFill>
                  <a:srgbClr val="000000"/>
                </a:solidFill>
                <a:latin typeface="Calibri"/>
              </a:rPr>
              <a:t>Spend by vendor (₹)</a:t>
            </a:r>
          </a:p>
        </c:rich>
      </c:tx>
      <c:overlay val="0"/>
      <c:spPr>
        <a:noFill/>
        <a:ln w="0">
          <a:noFill/>
        </a:ln>
      </c:spPr>
    </c:title>
    <c:autoTitleDeleted val="0"/>
    <c:plotArea>
      <c:barChart>
        <c:barDir val="bar"/>
        <c:grouping val="clustered"/>
        <c:varyColors val="0"/>
        <c:ser>
          <c:idx val="0"/>
          <c:order val="0"/>
          <c:tx>
            <c:strRef>
              <c:f>Dashboard!$C$11</c:f>
              <c:strCache>
                <c:ptCount val="1"/>
                <c:pt idx="0">
                  <c:v>Invoice total</c:v>
                </c:pt>
              </c:strCache>
            </c:strRef>
          </c:tx>
          <c:spPr>
            <a:solidFill>
              <a:srgbClr val="12705e"/>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Dashboard!$B$12:$B$19</c:f>
              <c:strCache>
                <c:ptCount val="8"/>
                <c:pt idx="0">
                  <c:v>Cushman &amp; Wakefield India Private Limited</c:v>
                </c:pt>
                <c:pt idx="1">
                  <c:v>DLF Home Developers Limited</c:v>
                </c:pt>
                <c:pt idx="2">
                  <c:v>Antya Web Private Limited</c:v>
                </c:pt>
                <c:pt idx="3">
                  <c:v>M/s Stitch-9</c:v>
                </c:pt>
                <c:pt idx="4">
                  <c:v>Branch of Quang Vinh Ceramic Co., Ltd (Vietnam)</c:v>
                </c:pt>
                <c:pt idx="5">
                  <c:v>Clay Craft India Limited</c:v>
                </c:pt>
                <c:pt idx="6">
                  <c:v>Jatin Gulabrai Parekh</c:v>
                </c:pt>
                <c:pt idx="7">
                  <c:v>Other / new vendors</c:v>
                </c:pt>
              </c:strCache>
            </c:strRef>
          </c:cat>
          <c:val>
            <c:numRef>
              <c:f>Dashboard!$C$12:$C$19</c:f>
              <c:numCache>
                <c:formatCode>[&gt;=10000000]\₹##\,##\,##\,##0;[&gt;=100000]\₹##\,##\,##0;\₹##,##0</c:formatCode>
                <c:ptCount val="8"/>
                <c:pt idx="0">
                  <c:v>1563500</c:v>
                </c:pt>
                <c:pt idx="1">
                  <c:v>1482156.23</c:v>
                </c:pt>
                <c:pt idx="2">
                  <c:v>1416000</c:v>
                </c:pt>
                <c:pt idx="3">
                  <c:v>1180590</c:v>
                </c:pt>
                <c:pt idx="4">
                  <c:v>1164340.79364</c:v>
                </c:pt>
                <c:pt idx="5">
                  <c:v>632596</c:v>
                </c:pt>
                <c:pt idx="6">
                  <c:v>451443</c:v>
                </c:pt>
                <c:pt idx="7">
                  <c:v>1375419.612</c:v>
                </c:pt>
              </c:numCache>
            </c:numRef>
          </c:val>
        </c:ser>
        <c:gapWidth val="60"/>
        <c:overlap val="0"/>
        <c:axId val="51661651"/>
        <c:axId val="16046218"/>
      </c:barChart>
      <c:catAx>
        <c:axId val="51661651"/>
        <c:scaling>
          <c:orientation val="maxMin"/>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6046218"/>
        <c:crosses val="autoZero"/>
        <c:auto val="1"/>
        <c:lblAlgn val="ctr"/>
        <c:lblOffset val="100"/>
        <c:noMultiLvlLbl val="0"/>
      </c:catAx>
      <c:valAx>
        <c:axId val="16046218"/>
        <c:scaling>
          <c:orientation val="minMax"/>
        </c:scaling>
        <c:delete val="0"/>
        <c:axPos val="l"/>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16616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800" spc="-1" strike="noStrike">
                <a:solidFill>
                  <a:srgbClr val="000000"/>
                </a:solidFill>
                <a:latin typeface="Calibri"/>
              </a:defRPr>
            </a:pPr>
            <a:r>
              <a:rPr b="1" lang="en-IN" sz="1800" spc="-1" strike="noStrike">
                <a:solidFill>
                  <a:srgbClr val="000000"/>
                </a:solidFill>
                <a:latin typeface="Calibri"/>
              </a:rPr>
              <a:t>Spend by month (₹ lakh)</a:t>
            </a:r>
          </a:p>
        </c:rich>
      </c:tx>
      <c:overlay val="0"/>
      <c:spPr>
        <a:noFill/>
        <a:ln w="0">
          <a:noFill/>
        </a:ln>
      </c:spPr>
    </c:title>
    <c:autoTitleDeleted val="0"/>
    <c:plotArea>
      <c:barChart>
        <c:barDir val="col"/>
        <c:grouping val="clustered"/>
        <c:varyColors val="0"/>
        <c:ser>
          <c:idx val="0"/>
          <c:order val="0"/>
          <c:tx>
            <c:strRef>
              <c:f>Dashboard!$J$11</c:f>
              <c:strCache>
                <c:ptCount val="1"/>
                <c:pt idx="0">
                  <c:v>₹ lakh</c:v>
                </c:pt>
              </c:strCache>
            </c:strRef>
          </c:tx>
          <c:spPr>
            <a:solidFill>
              <a:srgbClr val="12705e"/>
            </a:solidFill>
            <a:ln w="0">
              <a:no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numRef>
              <c:f>Dashboard!$G$12:$G$23</c:f>
              <c:numCache>
                <c:formatCode>mmm</c:formatCode>
                <c:ptCount val="12"/>
                <c:pt idx="0">
                  <c:v>Apr 2026</c:v>
                </c:pt>
                <c:pt idx="1">
                  <c:v>May 2026</c:v>
                </c:pt>
                <c:pt idx="2">
                  <c:v>Jun 2026</c:v>
                </c:pt>
                <c:pt idx="3">
                  <c:v>Jul 2026</c:v>
                </c:pt>
                <c:pt idx="4">
                  <c:v>Aug 2026</c:v>
                </c:pt>
                <c:pt idx="5">
                  <c:v>Sep 2026</c:v>
                </c:pt>
                <c:pt idx="6">
                  <c:v>Oct 2026</c:v>
                </c:pt>
                <c:pt idx="7">
                  <c:v>Nov 2026</c:v>
                </c:pt>
                <c:pt idx="8">
                  <c:v>Dec 2026</c:v>
                </c:pt>
                <c:pt idx="9">
                  <c:v>Jan 2027</c:v>
                </c:pt>
                <c:pt idx="10">
                  <c:v>Feb 2027</c:v>
                </c:pt>
                <c:pt idx="11">
                  <c:v>Mar 2027</c:v>
                </c:pt>
              </c:numCache>
            </c:numRef>
          </c:cat>
          <c:val>
            <c:numRef>
              <c:f>Dashboard!$J$12:$J$23</c:f>
              <c:numCache>
                <c:formatCode>0.00</c:formatCode>
                <c:ptCount val="12"/>
                <c:pt idx="0">
                  <c:v>0.09</c:v>
                </c:pt>
                <c:pt idx="1">
                  <c:v>5.84</c:v>
                </c:pt>
                <c:pt idx="2">
                  <c:v>0.74</c:v>
                </c:pt>
                <c:pt idx="3">
                  <c:v>5.12</c:v>
                </c:pt>
                <c:pt idx="4">
                  <c:v>13.09</c:v>
                </c:pt>
                <c:pt idx="5">
                  <c:v>65.89</c:v>
                </c:pt>
                <c:pt idx="6">
                  <c:v>1.82</c:v>
                </c:pt>
                <c:pt idx="7">
                  <c:v>0</c:v>
                </c:pt>
                <c:pt idx="8">
                  <c:v>0</c:v>
                </c:pt>
                <c:pt idx="9">
                  <c:v>0</c:v>
                </c:pt>
                <c:pt idx="10">
                  <c:v>0</c:v>
                </c:pt>
                <c:pt idx="11">
                  <c:v>0</c:v>
                </c:pt>
              </c:numCache>
            </c:numRef>
          </c:val>
        </c:ser>
        <c:gapWidth val="50"/>
        <c:overlap val="0"/>
        <c:axId val="57201622"/>
        <c:axId val="56565474"/>
      </c:barChart>
      <c:dateAx>
        <c:axId val="57201622"/>
        <c:scaling>
          <c:orientation val="minMax"/>
        </c:scaling>
        <c:delete val="0"/>
        <c:axPos val="b"/>
        <c:numFmt formatCode="mm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6565474"/>
        <c:crosses val="autoZero"/>
        <c:auto val="1"/>
        <c:lblOffset val="100"/>
        <c:baseTimeUnit val="months"/>
        <c:noMultiLvlLbl val="0"/>
      </c:dateAx>
      <c:valAx>
        <c:axId val="56565474"/>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72016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37</xdr:row>
      <xdr:rowOff>10800</xdr:rowOff>
    </xdr:from>
    <xdr:to>
      <xdr:col>6</xdr:col>
      <xdr:colOff>260640</xdr:colOff>
      <xdr:row>52</xdr:row>
      <xdr:rowOff>31320</xdr:rowOff>
    </xdr:to>
    <xdr:graphicFrame>
      <xdr:nvGraphicFramePr>
        <xdr:cNvPr id="0" name="Chart 1"/>
        <xdr:cNvGraphicFramePr/>
      </xdr:nvGraphicFramePr>
      <xdr:xfrm>
        <a:off x="141120" y="6887880"/>
        <a:ext cx="6392520" cy="2735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37</xdr:row>
      <xdr:rowOff>10800</xdr:rowOff>
    </xdr:from>
    <xdr:to>
      <xdr:col>12</xdr:col>
      <xdr:colOff>104040</xdr:colOff>
      <xdr:row>52</xdr:row>
      <xdr:rowOff>31320</xdr:rowOff>
    </xdr:to>
    <xdr:graphicFrame>
      <xdr:nvGraphicFramePr>
        <xdr:cNvPr id="1" name="Chart 2"/>
        <xdr:cNvGraphicFramePr/>
      </xdr:nvGraphicFramePr>
      <xdr:xfrm>
        <a:off x="6273000" y="6887880"/>
        <a:ext cx="5038200" cy="2735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mail.google.com/mail/?authuser=invoice@nicobar.com" TargetMode="External"/><Relationship Id="rId2" Type="http://schemas.openxmlformats.org/officeDocument/2006/relationships/hyperlink" Target="https://mail.google.com/mail/?authuser=invoice@nicobar.com" TargetMode="External"/><Relationship Id="rId3" Type="http://schemas.openxmlformats.org/officeDocument/2006/relationships/hyperlink" Target="https://mail.google.com/mail/?authuser=invoice@nicobar.com" TargetMode="External"/><Relationship Id="rId4" Type="http://schemas.openxmlformats.org/officeDocument/2006/relationships/hyperlink" Target="https://mail.google.com/mail/?authuser=invoice@nicobar.com" TargetMode="External"/><Relationship Id="rId5" Type="http://schemas.openxmlformats.org/officeDocument/2006/relationships/hyperlink" Target="https://mail.google.com/mail/?authuser=invoice@nicobar.com" TargetMode="External"/><Relationship Id="rId6" Type="http://schemas.openxmlformats.org/officeDocument/2006/relationships/hyperlink" Target="https://mail.google.com/mail/?authuser=invoice@nicobar.com" TargetMode="External"/><Relationship Id="rId7" Type="http://schemas.openxmlformats.org/officeDocument/2006/relationships/hyperlink" Target="https://mail.google.com/mail/?authuser=invoice@nicobar.com" TargetMode="External"/><Relationship Id="rId8" Type="http://schemas.openxmlformats.org/officeDocument/2006/relationships/hyperlink" Target="https://mail.google.com/mail/?authuser=invoice@nicobar.com" TargetMode="External"/><Relationship Id="rId9" Type="http://schemas.openxmlformats.org/officeDocument/2006/relationships/hyperlink" Target="https://mail.google.com/mail/?authuser=invoice@nicobar.com" TargetMode="External"/><Relationship Id="rId10" Type="http://schemas.openxmlformats.org/officeDocument/2006/relationships/hyperlink" Target="https://mail.google.com/mail/?authuser=invoice@nicobar.com" TargetMode="External"/><Relationship Id="rId11" Type="http://schemas.openxmlformats.org/officeDocument/2006/relationships/hyperlink" Target="https://mail.google.com/mail/?authuser=invoice@nicobar.com" TargetMode="External"/><Relationship Id="rId12" Type="http://schemas.openxmlformats.org/officeDocument/2006/relationships/hyperlink" Target="https://mail.google.com/mail/?authuser=invoice@nicobar.com" TargetMode="External"/><Relationship Id="rId13" Type="http://schemas.openxmlformats.org/officeDocument/2006/relationships/hyperlink" Target="https://mail.google.com/mail/?authuser=invoice@nicobar.com" TargetMode="External"/><Relationship Id="rId14" Type="http://schemas.openxmlformats.org/officeDocument/2006/relationships/hyperlink" Target="https://mail.google.com/mail/?authuser=invoice@nicobar.com" TargetMode="External"/><Relationship Id="rId15" Type="http://schemas.openxmlformats.org/officeDocument/2006/relationships/hyperlink" Target="https://mail.google.com/mail/?authuser=invoice@nicobar.com" TargetMode="External"/><Relationship Id="rId16" Type="http://schemas.openxmlformats.org/officeDocument/2006/relationships/hyperlink" Target="https://mail.google.com/mail/?authuser=invoice@nicobar.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5" activePane="bottomLeft" state="frozen"/>
      <selection pane="topLeft" activeCell="A1" activeCellId="0" sqref="A1"/>
      <selection pane="bottomLeft" activeCell="A1" activeCellId="0" sqref="A1"/>
    </sheetView>
  </sheetViews>
  <sheetFormatPr defaultColWidth="8.625" defaultRowHeight="14.25" zeroHeight="false" outlineLevelRow="0" outlineLevelCol="0"/>
  <cols>
    <col collapsed="false" customWidth="true" hidden="false" outlineLevel="0" max="1" min="1" style="1" width="2"/>
    <col collapsed="false" customWidth="true" hidden="false" outlineLevel="0" max="2" min="2" style="1" width="51"/>
    <col collapsed="false" customWidth="true" hidden="false" outlineLevel="0" max="3" min="3" style="1" width="16"/>
    <col collapsed="false" customWidth="true" hidden="false" outlineLevel="0" max="4" min="4" style="1" width="8"/>
    <col collapsed="false" customWidth="true" hidden="false" outlineLevel="0" max="5" min="5" style="1" width="9"/>
    <col collapsed="false" customWidth="true" hidden="false" outlineLevel="0" max="6" min="6" style="1" width="3"/>
    <col collapsed="false" customWidth="true" hidden="false" outlineLevel="0" max="7" min="7" style="1" width="24"/>
    <col collapsed="false" customWidth="true" hidden="false" outlineLevel="0" max="8" min="8" style="1" width="16"/>
    <col collapsed="false" customWidth="true" hidden="false" outlineLevel="0" max="9" min="9" style="1" width="9"/>
    <col collapsed="false" customWidth="true" hidden="false" outlineLevel="0" max="10" min="10" style="1" width="16"/>
    <col collapsed="false" customWidth="true" hidden="false" outlineLevel="0" max="11" min="11" style="1" width="3"/>
    <col collapsed="false" customWidth="true" hidden="false" outlineLevel="0" max="12" min="12" style="1" width="2"/>
  </cols>
  <sheetData>
    <row r="2" customFormat="false" ht="14.25" hidden="false" customHeight="true" outlineLevel="0" collapsed="false">
      <c r="B2" s="2" t="s">
        <v>0</v>
      </c>
    </row>
    <row r="3" customFormat="false" ht="23.25" hidden="false" customHeight="true" outlineLevel="0" collapsed="false">
      <c r="B3" s="3" t="s">
        <v>1</v>
      </c>
      <c r="H3" s="4" t="s">
        <v>2</v>
      </c>
      <c r="I3" s="5" t="n">
        <f aca="true">TODAY()</f>
        <v>46298</v>
      </c>
    </row>
    <row r="4" customFormat="false" ht="14.25" hidden="false" customHeight="true" outlineLevel="0" collapsed="false">
      <c r="B4" s="6" t="s">
        <v>3</v>
      </c>
    </row>
    <row r="6" customFormat="false" ht="14.25" hidden="false" customHeight="true" outlineLevel="0" collapsed="false">
      <c r="B6" s="7" t="s">
        <v>4</v>
      </c>
      <c r="C6" s="8" t="s">
        <v>5</v>
      </c>
      <c r="D6" s="8"/>
      <c r="G6" s="7" t="s">
        <v>6</v>
      </c>
      <c r="H6" s="8" t="s">
        <v>7</v>
      </c>
      <c r="I6" s="8"/>
      <c r="J6" s="7" t="s">
        <v>8</v>
      </c>
    </row>
    <row r="7" customFormat="false" ht="19.5" hidden="false" customHeight="true" outlineLevel="0" collapsed="false">
      <c r="B7" s="9" t="n">
        <f aca="false">SUMIFS('Invoice Register'!$X$5:$X$2024,'Invoice Register'!$A$5:$A$2024,"&gt;0")</f>
        <v>9266045.63564</v>
      </c>
      <c r="C7" s="10" t="n">
        <f aca="false">SUMIFS('Invoice Register'!$Z$5:$Z$2024,'Invoice Register'!$A$5:$A$2024,"&gt;0")</f>
        <v>8975814.63564</v>
      </c>
      <c r="D7" s="10"/>
      <c r="G7" s="11" t="n">
        <f aca="false">SUMIFS('Invoice Register'!$T$5:$T$2024,'Invoice Register'!$A$5:$A$2024,"&gt;0")+SUMIFS('Invoice Register'!$U$5:$U$2024,'Invoice Register'!$A$5:$A$2024,"&gt;0")+SUMIFS('Invoice Register'!$V$5:$V$2024,'Invoice Register'!$A$5:$A$2024,"&gt;0")</f>
        <v>1115384.15</v>
      </c>
      <c r="H7" s="12" t="n">
        <f aca="false">SUMIFS('Invoice Register'!$Y$5:$Y$2024,'Invoice Register'!$A$5:$A$2024,"&gt;0")</f>
        <v>290231</v>
      </c>
      <c r="I7" s="12"/>
      <c r="J7" s="13" t="n">
        <f aca="false">ROUND(SUMIFS('Invoice Register'!$Q$5:$Q$2024,'Invoice Register'!$A$5:$A$2024,"&gt;0",'Invoice Register'!$AR$5:$AR$2024,"RCM*")*18%,0)</f>
        <v>14100</v>
      </c>
    </row>
    <row r="8" customFormat="false" ht="14.25" hidden="false" customHeight="true" outlineLevel="0" collapsed="false">
      <c r="B8" s="14" t="n">
        <f aca="false">SUMPRODUCT(('Invoice Register'!$C$5:$C$2024&lt;&gt;"")/COUNTIF('Invoice Register'!$C$5:$C$2024,'Invoice Register'!$C$5:$C$2024&amp;""))</f>
        <v>72</v>
      </c>
      <c r="C8" s="15" t="n">
        <f aca="false">COUNTIFS('Invoice Register'!$A$5:$A$2024,"&gt;0")</f>
        <v>117</v>
      </c>
      <c r="D8" s="16"/>
      <c r="G8" s="17" t="s">
        <v>9</v>
      </c>
      <c r="H8" s="17" t="s">
        <v>10</v>
      </c>
      <c r="I8" s="16"/>
      <c r="J8" s="17" t="s">
        <v>11</v>
      </c>
    </row>
    <row r="10" customFormat="false" ht="14.25" hidden="false" customHeight="true" outlineLevel="0" collapsed="false">
      <c r="B10" s="18" t="s">
        <v>12</v>
      </c>
      <c r="G10" s="18" t="s">
        <v>13</v>
      </c>
    </row>
    <row r="11" customFormat="false" ht="14.25" hidden="false" customHeight="true" outlineLevel="0" collapsed="false">
      <c r="B11" s="19" t="s">
        <v>14</v>
      </c>
      <c r="C11" s="20" t="s">
        <v>4</v>
      </c>
      <c r="D11" s="20" t="s">
        <v>15</v>
      </c>
      <c r="E11" s="20" t="s">
        <v>16</v>
      </c>
      <c r="G11" s="19" t="s">
        <v>17</v>
      </c>
      <c r="H11" s="20" t="s">
        <v>4</v>
      </c>
      <c r="I11" s="20" t="s">
        <v>15</v>
      </c>
      <c r="J11" s="20" t="s">
        <v>18</v>
      </c>
    </row>
    <row r="12" customFormat="false" ht="14.25" hidden="false" customHeight="true" outlineLevel="0" collapsed="false">
      <c r="B12" s="21" t="s">
        <v>19</v>
      </c>
      <c r="C12" s="22" t="n">
        <f aca="false">SUMIFS('Invoice Register'!$X$5:$X$2024,'Invoice Register'!$G$5:$G$2024,B12,'Invoice Register'!$A$5:$A$2024,"&gt;0")</f>
        <v>1563500</v>
      </c>
      <c r="D12" s="23" t="n">
        <f aca="false">COUNTIFS('Invoice Register'!$G$5:$G$2024,B12,'Invoice Register'!$A$5:$A$2024,"&gt;0")</f>
        <v>1</v>
      </c>
      <c r="E12" s="24" t="n">
        <f aca="false">IF($C$7=0,0,C12/$C$20)</f>
        <v>0.168734329775617</v>
      </c>
      <c r="G12" s="25" t="n">
        <v>46113</v>
      </c>
      <c r="H12" s="22" t="n">
        <f aca="false">SUMIFS('Invoice Register'!$X$5:$X$2024,'Invoice Register'!$D$5:$D$2024,"&gt;="&amp;G12,'Invoice Register'!$D$5:$D$2024,"&lt;"&amp;EDATE(G12,1),'Invoice Register'!$A$5:$A$2024,"&gt;0")</f>
        <v>9383.51</v>
      </c>
      <c r="I12" s="23" t="n">
        <f aca="false">COUNTIFS('Invoice Register'!$D$5:$D$2024,"&gt;="&amp;G12,'Invoice Register'!$D$5:$D$2024,"&lt;"&amp;EDATE(G12,1),'Invoice Register'!$A$5:$A$2024,"&gt;0")</f>
        <v>2</v>
      </c>
      <c r="J12" s="26" t="n">
        <f aca="false">ROUND(H12/100000,2)</f>
        <v>0.09</v>
      </c>
    </row>
    <row r="13" customFormat="false" ht="14.25" hidden="false" customHeight="true" outlineLevel="0" collapsed="false">
      <c r="B13" s="21" t="s">
        <v>20</v>
      </c>
      <c r="C13" s="22" t="n">
        <f aca="false">SUMIFS('Invoice Register'!$X$5:$X$2024,'Invoice Register'!$G$5:$G$2024,B13,'Invoice Register'!$A$5:$A$2024,"&gt;0")</f>
        <v>1482156.23</v>
      </c>
      <c r="D13" s="23" t="n">
        <f aca="false">COUNTIFS('Invoice Register'!$G$5:$G$2024,B13,'Invoice Register'!$A$5:$A$2024,"&gt;0")</f>
        <v>14</v>
      </c>
      <c r="E13" s="24" t="n">
        <f aca="false">IF($C$7=0,0,C13/$C$20)</f>
        <v>0.159955636771222</v>
      </c>
      <c r="G13" s="25" t="n">
        <v>46143</v>
      </c>
      <c r="H13" s="22" t="n">
        <f aca="false">SUMIFS('Invoice Register'!$X$5:$X$2024,'Invoice Register'!$D$5:$D$2024,"&gt;="&amp;G13,'Invoice Register'!$D$5:$D$2024,"&lt;"&amp;EDATE(G13,1),'Invoice Register'!$A$5:$A$2024,"&gt;0")</f>
        <v>583977.33</v>
      </c>
      <c r="I13" s="23" t="n">
        <f aca="false">COUNTIFS('Invoice Register'!$D$5:$D$2024,"&gt;="&amp;G13,'Invoice Register'!$D$5:$D$2024,"&lt;"&amp;EDATE(G13,1),'Invoice Register'!$A$5:$A$2024,"&gt;0")</f>
        <v>5</v>
      </c>
      <c r="J13" s="26" t="n">
        <f aca="false">ROUND(H13/100000,2)</f>
        <v>5.84</v>
      </c>
    </row>
    <row r="14" customFormat="false" ht="14.25" hidden="false" customHeight="true" outlineLevel="0" collapsed="false">
      <c r="B14" s="21" t="s">
        <v>21</v>
      </c>
      <c r="C14" s="22" t="n">
        <f aca="false">SUMIFS('Invoice Register'!$X$5:$X$2024,'Invoice Register'!$G$5:$G$2024,B14,'Invoice Register'!$A$5:$A$2024,"&gt;0")</f>
        <v>1416000</v>
      </c>
      <c r="D14" s="23" t="n">
        <f aca="false">COUNTIFS('Invoice Register'!$G$5:$G$2024,B14,'Invoice Register'!$A$5:$A$2024,"&gt;0")</f>
        <v>1</v>
      </c>
      <c r="E14" s="24" t="n">
        <f aca="false">IF($C$7=0,0,C14/$C$20)</f>
        <v>0.152815996777918</v>
      </c>
      <c r="G14" s="25" t="n">
        <v>46174</v>
      </c>
      <c r="H14" s="22" t="n">
        <f aca="false">SUMIFS('Invoice Register'!$X$5:$X$2024,'Invoice Register'!$D$5:$D$2024,"&gt;="&amp;G14,'Invoice Register'!$D$5:$D$2024,"&lt;"&amp;EDATE(G14,1),'Invoice Register'!$A$5:$A$2024,"&gt;0")</f>
        <v>74288.08</v>
      </c>
      <c r="I14" s="23" t="n">
        <f aca="false">COUNTIFS('Invoice Register'!$D$5:$D$2024,"&gt;="&amp;G14,'Invoice Register'!$D$5:$D$2024,"&lt;"&amp;EDATE(G14,1),'Invoice Register'!$A$5:$A$2024,"&gt;0")</f>
        <v>3</v>
      </c>
      <c r="J14" s="26" t="n">
        <f aca="false">ROUND(H14/100000,2)</f>
        <v>0.74</v>
      </c>
    </row>
    <row r="15" customFormat="false" ht="14.25" hidden="false" customHeight="true" outlineLevel="0" collapsed="false">
      <c r="B15" s="21" t="s">
        <v>22</v>
      </c>
      <c r="C15" s="22" t="n">
        <f aca="false">SUMIFS('Invoice Register'!$X$5:$X$2024,'Invoice Register'!$G$5:$G$2024,B15,'Invoice Register'!$A$5:$A$2024,"&gt;0")</f>
        <v>1180590</v>
      </c>
      <c r="D15" s="23" t="n">
        <f aca="false">COUNTIFS('Invoice Register'!$G$5:$G$2024,B15,'Invoice Register'!$A$5:$A$2024,"&gt;0")</f>
        <v>1</v>
      </c>
      <c r="E15" s="24" t="n">
        <f aca="false">IF($C$7=0,0,C15/$C$20)</f>
        <v>0.127410337313589</v>
      </c>
      <c r="G15" s="25" t="n">
        <v>46204</v>
      </c>
      <c r="H15" s="22" t="n">
        <f aca="false">SUMIFS('Invoice Register'!$X$5:$X$2024,'Invoice Register'!$D$5:$D$2024,"&gt;="&amp;G15,'Invoice Register'!$D$5:$D$2024,"&lt;"&amp;EDATE(G15,1),'Invoice Register'!$A$5:$A$2024,"&gt;0")</f>
        <v>511872.28</v>
      </c>
      <c r="I15" s="23" t="n">
        <f aca="false">COUNTIFS('Invoice Register'!$D$5:$D$2024,"&gt;="&amp;G15,'Invoice Register'!$D$5:$D$2024,"&lt;"&amp;EDATE(G15,1),'Invoice Register'!$A$5:$A$2024,"&gt;0")</f>
        <v>6</v>
      </c>
      <c r="J15" s="26" t="n">
        <f aca="false">ROUND(H15/100000,2)</f>
        <v>5.12</v>
      </c>
    </row>
    <row r="16" customFormat="false" ht="14.25" hidden="false" customHeight="true" outlineLevel="0" collapsed="false">
      <c r="B16" s="21" t="s">
        <v>23</v>
      </c>
      <c r="C16" s="22" t="n">
        <f aca="false">SUMIFS('Invoice Register'!$X$5:$X$2024,'Invoice Register'!$G$5:$G$2024,B16,'Invoice Register'!$A$5:$A$2024,"&gt;0")</f>
        <v>1164340.79364</v>
      </c>
      <c r="D16" s="23" t="n">
        <f aca="false">COUNTIFS('Invoice Register'!$G$5:$G$2024,B16,'Invoice Register'!$A$5:$A$2024,"&gt;0")</f>
        <v>10</v>
      </c>
      <c r="E16" s="24" t="n">
        <f aca="false">IF($C$7=0,0,C16/$C$20)</f>
        <v>0.125656708311644</v>
      </c>
      <c r="G16" s="25" t="n">
        <v>46235</v>
      </c>
      <c r="H16" s="22" t="n">
        <f aca="false">SUMIFS('Invoice Register'!$X$5:$X$2024,'Invoice Register'!$D$5:$D$2024,"&gt;="&amp;G16,'Invoice Register'!$D$5:$D$2024,"&lt;"&amp;EDATE(G16,1),'Invoice Register'!$A$5:$A$2024,"&gt;0")</f>
        <v>1308684.07</v>
      </c>
      <c r="I16" s="23" t="n">
        <f aca="false">COUNTIFS('Invoice Register'!$D$5:$D$2024,"&gt;="&amp;G16,'Invoice Register'!$D$5:$D$2024,"&lt;"&amp;EDATE(G16,1),'Invoice Register'!$A$5:$A$2024,"&gt;0")</f>
        <v>33</v>
      </c>
      <c r="J16" s="26" t="n">
        <f aca="false">ROUND(H16/100000,2)</f>
        <v>13.09</v>
      </c>
    </row>
    <row r="17" customFormat="false" ht="14.25" hidden="false" customHeight="true" outlineLevel="0" collapsed="false">
      <c r="B17" s="21" t="s">
        <v>24</v>
      </c>
      <c r="C17" s="22" t="n">
        <f aca="false">SUMIFS('Invoice Register'!$X$5:$X$2024,'Invoice Register'!$G$5:$G$2024,B17,'Invoice Register'!$A$5:$A$2024,"&gt;0")</f>
        <v>632596</v>
      </c>
      <c r="D17" s="23" t="n">
        <f aca="false">COUNTIFS('Invoice Register'!$G$5:$G$2024,B17,'Invoice Register'!$A$5:$A$2024,"&gt;0")</f>
        <v>3</v>
      </c>
      <c r="E17" s="24" t="n">
        <f aca="false">IF($C$7=0,0,C17/$C$20)</f>
        <v>0.0682703307187314</v>
      </c>
      <c r="G17" s="25" t="n">
        <v>46266</v>
      </c>
      <c r="H17" s="22" t="n">
        <f aca="false">SUMIFS('Invoice Register'!$X$5:$X$2024,'Invoice Register'!$D$5:$D$2024,"&gt;="&amp;G17,'Invoice Register'!$D$5:$D$2024,"&lt;"&amp;EDATE(G17,1),'Invoice Register'!$A$5:$A$2024,"&gt;0")</f>
        <v>6588916.36564</v>
      </c>
      <c r="I17" s="23" t="n">
        <f aca="false">COUNTIFS('Invoice Register'!$D$5:$D$2024,"&gt;="&amp;G17,'Invoice Register'!$D$5:$D$2024,"&lt;"&amp;EDATE(G17,1),'Invoice Register'!$A$5:$A$2024,"&gt;0")</f>
        <v>66</v>
      </c>
      <c r="J17" s="26" t="n">
        <f aca="false">ROUND(H17/100000,2)</f>
        <v>65.89</v>
      </c>
    </row>
    <row r="18" customFormat="false" ht="14.25" hidden="false" customHeight="true" outlineLevel="0" collapsed="false">
      <c r="B18" s="21" t="s">
        <v>25</v>
      </c>
      <c r="C18" s="22" t="n">
        <f aca="false">SUMIFS('Invoice Register'!$X$5:$X$2024,'Invoice Register'!$G$5:$G$2024,B18,'Invoice Register'!$A$5:$A$2024,"&gt;0")</f>
        <v>451443</v>
      </c>
      <c r="D18" s="23" t="n">
        <f aca="false">COUNTIFS('Invoice Register'!$G$5:$G$2024,B18,'Invoice Register'!$A$5:$A$2024,"&gt;0")</f>
        <v>1</v>
      </c>
      <c r="E18" s="24" t="n">
        <f aca="false">IF($C$7=0,0,C18/$C$20)</f>
        <v>0.0487201356168174</v>
      </c>
      <c r="G18" s="25" t="n">
        <v>46296</v>
      </c>
      <c r="H18" s="22" t="n">
        <f aca="false">SUMIFS('Invoice Register'!$X$5:$X$2024,'Invoice Register'!$D$5:$D$2024,"&gt;="&amp;G18,'Invoice Register'!$D$5:$D$2024,"&lt;"&amp;EDATE(G18,1),'Invoice Register'!$A$5:$A$2024,"&gt;0")</f>
        <v>181844</v>
      </c>
      <c r="I18" s="23" t="n">
        <f aca="false">COUNTIFS('Invoice Register'!$D$5:$D$2024,"&gt;="&amp;G18,'Invoice Register'!$D$5:$D$2024,"&lt;"&amp;EDATE(G18,1),'Invoice Register'!$A$5:$A$2024,"&gt;0")</f>
        <v>1</v>
      </c>
      <c r="J18" s="26" t="n">
        <f aca="false">ROUND(H18/100000,2)</f>
        <v>1.82</v>
      </c>
    </row>
    <row r="19" customFormat="false" ht="14.25" hidden="false" customHeight="true" outlineLevel="0" collapsed="false">
      <c r="B19" s="27" t="s">
        <v>26</v>
      </c>
      <c r="C19" s="22" t="n">
        <f aca="false">B7-SUM(C12:C18)</f>
        <v>1375419.612</v>
      </c>
      <c r="D19" s="23" t="n">
        <f aca="false">C8-SUM(D12:D18)</f>
        <v>86</v>
      </c>
      <c r="E19" s="24" t="n">
        <f aca="false">IF(C20=0,0,C19/C20)</f>
        <v>0.148436524714461</v>
      </c>
      <c r="G19" s="25" t="n">
        <v>46327</v>
      </c>
      <c r="H19" s="22" t="n">
        <f aca="false">SUMIFS('Invoice Register'!$X$5:$X$2024,'Invoice Register'!$D$5:$D$2024,"&gt;="&amp;G19,'Invoice Register'!$D$5:$D$2024,"&lt;"&amp;EDATE(G19,1),'Invoice Register'!$A$5:$A$2024,"&gt;0")</f>
        <v>0</v>
      </c>
      <c r="I19" s="23" t="n">
        <f aca="false">COUNTIFS('Invoice Register'!$D$5:$D$2024,"&gt;="&amp;G19,'Invoice Register'!$D$5:$D$2024,"&lt;"&amp;EDATE(G19,1),'Invoice Register'!$A$5:$A$2024,"&gt;0")</f>
        <v>0</v>
      </c>
      <c r="J19" s="26" t="n">
        <f aca="false">ROUND(H19/100000,2)</f>
        <v>0</v>
      </c>
    </row>
    <row r="20" customFormat="false" ht="14.25" hidden="false" customHeight="true" outlineLevel="0" collapsed="false">
      <c r="B20" s="28" t="s">
        <v>27</v>
      </c>
      <c r="C20" s="29" t="n">
        <f aca="false">SUM(C12:C19)</f>
        <v>9266045.63564</v>
      </c>
      <c r="D20" s="28" t="n">
        <f aca="false">SUM(D12:D19)</f>
        <v>117</v>
      </c>
      <c r="E20" s="30" t="n">
        <f aca="false">SUM(E12:E19)</f>
        <v>1</v>
      </c>
      <c r="G20" s="25" t="n">
        <v>46357</v>
      </c>
      <c r="H20" s="22" t="n">
        <f aca="false">SUMIFS('Invoice Register'!$X$5:$X$2024,'Invoice Register'!$D$5:$D$2024,"&gt;="&amp;G20,'Invoice Register'!$D$5:$D$2024,"&lt;"&amp;EDATE(G20,1),'Invoice Register'!$A$5:$A$2024,"&gt;0")</f>
        <v>0</v>
      </c>
      <c r="I20" s="23" t="n">
        <f aca="false">COUNTIFS('Invoice Register'!$D$5:$D$2024,"&gt;="&amp;G20,'Invoice Register'!$D$5:$D$2024,"&lt;"&amp;EDATE(G20,1),'Invoice Register'!$A$5:$A$2024,"&gt;0")</f>
        <v>0</v>
      </c>
      <c r="J20" s="26" t="n">
        <f aca="false">ROUND(H20/100000,2)</f>
        <v>0</v>
      </c>
    </row>
    <row r="21" customFormat="false" ht="14.25" hidden="false" customHeight="true" outlineLevel="0" collapsed="false">
      <c r="B21" s="31" t="s">
        <v>28</v>
      </c>
      <c r="G21" s="25" t="n">
        <v>46388</v>
      </c>
      <c r="H21" s="22" t="n">
        <f aca="false">SUMIFS('Invoice Register'!$X$5:$X$2024,'Invoice Register'!$D$5:$D$2024,"&gt;="&amp;G21,'Invoice Register'!$D$5:$D$2024,"&lt;"&amp;EDATE(G21,1),'Invoice Register'!$A$5:$A$2024,"&gt;0")</f>
        <v>0</v>
      </c>
      <c r="I21" s="23" t="n">
        <f aca="false">COUNTIFS('Invoice Register'!$D$5:$D$2024,"&gt;="&amp;G21,'Invoice Register'!$D$5:$D$2024,"&lt;"&amp;EDATE(G21,1),'Invoice Register'!$A$5:$A$2024,"&gt;0")</f>
        <v>0</v>
      </c>
      <c r="J21" s="26" t="n">
        <f aca="false">ROUND(H21/100000,2)</f>
        <v>0</v>
      </c>
    </row>
    <row r="22" customFormat="false" ht="14.25" hidden="false" customHeight="true" outlineLevel="0" collapsed="false">
      <c r="G22" s="25" t="n">
        <v>46419</v>
      </c>
      <c r="H22" s="22" t="n">
        <f aca="false">SUMIFS('Invoice Register'!$X$5:$X$2024,'Invoice Register'!$D$5:$D$2024,"&gt;="&amp;G22,'Invoice Register'!$D$5:$D$2024,"&lt;"&amp;EDATE(G22,1),'Invoice Register'!$A$5:$A$2024,"&gt;0")</f>
        <v>0</v>
      </c>
      <c r="I22" s="23" t="n">
        <f aca="false">COUNTIFS('Invoice Register'!$D$5:$D$2024,"&gt;="&amp;G22,'Invoice Register'!$D$5:$D$2024,"&lt;"&amp;EDATE(G22,1),'Invoice Register'!$A$5:$A$2024,"&gt;0")</f>
        <v>0</v>
      </c>
      <c r="J22" s="26" t="n">
        <f aca="false">ROUND(H22/100000,2)</f>
        <v>0</v>
      </c>
    </row>
    <row r="23" customFormat="false" ht="14.25" hidden="false" customHeight="true" outlineLevel="0" collapsed="false">
      <c r="G23" s="25" t="n">
        <v>46447</v>
      </c>
      <c r="H23" s="22" t="n">
        <f aca="false">SUMIFS('Invoice Register'!$X$5:$X$2024,'Invoice Register'!$D$5:$D$2024,"&gt;="&amp;G23,'Invoice Register'!$D$5:$D$2024,"&lt;"&amp;EDATE(G23,1),'Invoice Register'!$A$5:$A$2024,"&gt;0")</f>
        <v>0</v>
      </c>
      <c r="I23" s="23" t="n">
        <f aca="false">COUNTIFS('Invoice Register'!$D$5:$D$2024,"&gt;="&amp;G23,'Invoice Register'!$D$5:$D$2024,"&lt;"&amp;EDATE(G23,1),'Invoice Register'!$A$5:$A$2024,"&gt;0")</f>
        <v>0</v>
      </c>
      <c r="J23" s="26" t="n">
        <f aca="false">ROUND(H23/100000,2)</f>
        <v>0</v>
      </c>
    </row>
    <row r="24" customFormat="false" ht="14.25" hidden="false" customHeight="true" outlineLevel="0" collapsed="false">
      <c r="G24" s="28" t="s">
        <v>29</v>
      </c>
      <c r="H24" s="29" t="n">
        <f aca="false">SUM(H12:H23)</f>
        <v>9258965.63564</v>
      </c>
      <c r="I24" s="28" t="n">
        <f aca="false">SUM(I12:I23)</f>
        <v>116</v>
      </c>
      <c r="J24" s="32" t="n">
        <f aca="false">SUM(J12:J23)</f>
        <v>92.59</v>
      </c>
    </row>
    <row r="25" customFormat="false" ht="14.25" hidden="false" customHeight="false" outlineLevel="0" collapsed="false">
      <c r="G25" s="28" t="s">
        <v>30</v>
      </c>
      <c r="H25" s="29" t="n">
        <f aca="false">B7-H24</f>
        <v>7080</v>
      </c>
      <c r="I25" s="28" t="n">
        <f aca="false">C8-I24</f>
        <v>1</v>
      </c>
      <c r="J25" s="32" t="n">
        <f aca="false">ROUND(H25/100000,2)</f>
        <v>0.07</v>
      </c>
    </row>
    <row r="27" customFormat="false" ht="14.25" hidden="false" customHeight="true" outlineLevel="0" collapsed="false">
      <c r="B27" s="18" t="s">
        <v>31</v>
      </c>
      <c r="G27" s="18" t="s">
        <v>32</v>
      </c>
    </row>
    <row r="28" customFormat="false" ht="14.25" hidden="false" customHeight="true" outlineLevel="0" collapsed="false">
      <c r="B28" s="19" t="s">
        <v>33</v>
      </c>
      <c r="C28" s="20" t="s">
        <v>34</v>
      </c>
      <c r="D28" s="20" t="s">
        <v>15</v>
      </c>
      <c r="E28" s="20" t="s">
        <v>16</v>
      </c>
      <c r="G28" s="19" t="s">
        <v>35</v>
      </c>
      <c r="H28" s="20" t="s">
        <v>36</v>
      </c>
      <c r="I28" s="20"/>
      <c r="J28" s="20"/>
    </row>
    <row r="29" customFormat="false" ht="14.25" hidden="false" customHeight="true" outlineLevel="0" collapsed="false">
      <c r="B29" s="21" t="s">
        <v>37</v>
      </c>
      <c r="C29" s="22" t="n">
        <f aca="false">SUMIFS('Invoice Register'!$Q$5:$Q$2024,'Invoice Register'!$S$5:$S$2024,B29,'Invoice Register'!$A$5:$A$2024,"&gt;0")</f>
        <v>2871602.62</v>
      </c>
      <c r="D29" s="23" t="n">
        <f aca="false">COUNTIFS('Invoice Register'!$S$5:$S$2024,B29,'Invoice Register'!$A$5:$A$2024,"&gt;0")</f>
        <v>26</v>
      </c>
      <c r="E29" s="24" t="n">
        <f aca="false">IF($C$34=0,0,C29/$C$34)</f>
        <v>0.35231532683921</v>
      </c>
      <c r="G29" s="23" t="s">
        <v>38</v>
      </c>
      <c r="H29" s="33" t="n">
        <f aca="false">SUMIFS('Invoice Register'!$T$5:$T$2024,'Invoice Register'!$A$5:$A$2024,"&gt;0")</f>
        <v>438567.11</v>
      </c>
    </row>
    <row r="30" customFormat="false" ht="14.25" hidden="false" customHeight="true" outlineLevel="0" collapsed="false">
      <c r="B30" s="21" t="s">
        <v>39</v>
      </c>
      <c r="C30" s="22" t="n">
        <f aca="false">SUMIFS('Invoice Register'!$Q$5:$Q$2024,'Invoice Register'!$S$5:$S$2024,B30,'Invoice Register'!$A$5:$A$2024,"&gt;0")</f>
        <v>3802585.52</v>
      </c>
      <c r="D30" s="23" t="n">
        <f aca="false">COUNTIFS('Invoice Register'!$S$5:$S$2024,B30,'Invoice Register'!$A$5:$A$2024,"&gt;0")</f>
        <v>60</v>
      </c>
      <c r="E30" s="24" t="n">
        <f aca="false">IF($C$34=0,0,C30/$C$34)</f>
        <v>0.466537100566111</v>
      </c>
      <c r="G30" s="23" t="s">
        <v>40</v>
      </c>
      <c r="H30" s="33" t="n">
        <f aca="false">SUMIFS('Invoice Register'!$U$5:$U$2024,'Invoice Register'!$A$5:$A$2024,"&gt;0")</f>
        <v>338408.52</v>
      </c>
    </row>
    <row r="31" customFormat="false" ht="14.25" hidden="false" customHeight="true" outlineLevel="0" collapsed="false">
      <c r="B31" s="21" t="s">
        <v>41</v>
      </c>
      <c r="C31" s="22" t="n">
        <f aca="false">SUMIFS('Invoice Register'!$Q$5:$Q$2024,'Invoice Register'!$S$5:$S$2024,B31,'Invoice Register'!$A$5:$A$2024,"&gt;0")</f>
        <v>1242671.84564</v>
      </c>
      <c r="D31" s="23" t="n">
        <f aca="false">COUNTIFS('Invoice Register'!$S$5:$S$2024,B31,'Invoice Register'!$A$5:$A$2024,"&gt;0")</f>
        <v>19</v>
      </c>
      <c r="E31" s="24" t="n">
        <f aca="false">IF($C$34=0,0,C31/$C$34)</f>
        <v>0.152462716951603</v>
      </c>
      <c r="G31" s="23" t="s">
        <v>42</v>
      </c>
      <c r="H31" s="33" t="n">
        <f aca="false">SUMIFS('Invoice Register'!$V$5:$V$2024,'Invoice Register'!$A$5:$A$2024,"&gt;0")</f>
        <v>338408.52</v>
      </c>
    </row>
    <row r="32" customFormat="false" ht="14.25" hidden="false" customHeight="true" outlineLevel="0" collapsed="false">
      <c r="B32" s="21" t="s">
        <v>43</v>
      </c>
      <c r="C32" s="22" t="n">
        <f aca="false">SUMIFS('Invoice Register'!$Q$5:$Q$2024,'Invoice Register'!$S$5:$S$2024,B32,'Invoice Register'!$A$5:$A$2024,"&gt;0")</f>
        <v>88000</v>
      </c>
      <c r="D32" s="23" t="n">
        <f aca="false">COUNTIFS('Invoice Register'!$S$5:$S$2024,B32,'Invoice Register'!$A$5:$A$2024,"&gt;0")</f>
        <v>3</v>
      </c>
      <c r="E32" s="24" t="n">
        <f aca="false">IF($C$34=0,0,C32/$C$34)</f>
        <v>0.0107966710107858</v>
      </c>
      <c r="G32" s="28" t="s">
        <v>44</v>
      </c>
      <c r="H32" s="34" t="n">
        <f aca="false">SUM(H29:H31)</f>
        <v>1115384.15</v>
      </c>
    </row>
    <row r="33" customFormat="false" ht="14.25" hidden="false" customHeight="true" outlineLevel="0" collapsed="false">
      <c r="B33" s="27" t="s">
        <v>45</v>
      </c>
      <c r="C33" s="22" t="n">
        <f aca="false">SUMIFS('Invoice Register'!$Q$5:$Q$2024,'Invoice Register'!$A$5:$A$2024,"&gt;0")-SUM(C29:C32)</f>
        <v>145800.52</v>
      </c>
      <c r="D33" s="23" t="n">
        <f aca="false">C8-SUM(D29:D32)</f>
        <v>9</v>
      </c>
      <c r="E33" s="24" t="n">
        <f aca="false">IF($C$34=0,0,C33/$C$34)</f>
        <v>0.0178881846322896</v>
      </c>
      <c r="G33" s="23" t="s">
        <v>46</v>
      </c>
      <c r="H33" s="33" t="n">
        <f aca="false">J7</f>
        <v>14100</v>
      </c>
    </row>
    <row r="34" customFormat="false" ht="14.25" hidden="false" customHeight="true" outlineLevel="0" collapsed="false">
      <c r="B34" s="28" t="s">
        <v>27</v>
      </c>
      <c r="C34" s="29" t="n">
        <f aca="false">SUM(C29:C33)</f>
        <v>8150660.50564</v>
      </c>
      <c r="D34" s="28" t="n">
        <f aca="false">SUM(D29:D33)</f>
        <v>117</v>
      </c>
      <c r="E34" s="30" t="n">
        <f aca="false">SUM(E29:E33)</f>
        <v>1</v>
      </c>
      <c r="G34" s="23" t="s">
        <v>7</v>
      </c>
      <c r="H34" s="33" t="n">
        <f aca="false">H7</f>
        <v>290231</v>
      </c>
    </row>
    <row r="35" customFormat="false" ht="14.25" hidden="false" customHeight="true" outlineLevel="0" collapsed="false">
      <c r="G35" s="1" t="s">
        <v>47</v>
      </c>
      <c r="H35" s="35" t="n">
        <f aca="false">C7</f>
        <v>8975814.63564</v>
      </c>
    </row>
    <row r="37" customFormat="false" ht="14.25" hidden="false" customHeight="true" outlineLevel="0" collapsed="false">
      <c r="G37" s="36" t="s">
        <v>48</v>
      </c>
      <c r="H37" s="37" t="str">
        <f aca="false">IF(ABS(C20-B7)&lt;1,"OK","MISMATCH")</f>
        <v>OK</v>
      </c>
    </row>
    <row r="38" customFormat="false" ht="14.25" hidden="false" customHeight="true" outlineLevel="0" collapsed="false">
      <c r="B38" s="18" t="s">
        <v>49</v>
      </c>
    </row>
    <row r="57" customFormat="false" ht="14.25" hidden="false" customHeight="true" outlineLevel="0" collapsed="false">
      <c r="B57" s="18" t="s">
        <v>50</v>
      </c>
    </row>
    <row r="58" customFormat="false" ht="14.25" hidden="false" customHeight="true" outlineLevel="0" collapsed="false">
      <c r="B58" s="38" t="s">
        <v>51</v>
      </c>
      <c r="C58" s="39" t="s">
        <v>52</v>
      </c>
      <c r="D58" s="39"/>
      <c r="E58" s="39"/>
      <c r="F58" s="39"/>
      <c r="G58" s="39"/>
      <c r="H58" s="39"/>
      <c r="I58" s="39"/>
      <c r="J58" s="39"/>
    </row>
    <row r="59" customFormat="false" ht="14.25" hidden="false" customHeight="true" outlineLevel="0" collapsed="false">
      <c r="B59" s="38" t="s">
        <v>51</v>
      </c>
      <c r="C59" s="39" t="s">
        <v>53</v>
      </c>
      <c r="D59" s="39"/>
      <c r="E59" s="39"/>
      <c r="F59" s="39"/>
      <c r="G59" s="39"/>
      <c r="H59" s="39"/>
      <c r="I59" s="39"/>
      <c r="J59" s="39"/>
    </row>
    <row r="60" customFormat="false" ht="14.25" hidden="false" customHeight="true" outlineLevel="0" collapsed="false">
      <c r="B60" s="40" t="s">
        <v>51</v>
      </c>
      <c r="C60" s="39" t="s">
        <v>54</v>
      </c>
      <c r="D60" s="39"/>
      <c r="E60" s="39"/>
      <c r="F60" s="39"/>
      <c r="G60" s="39"/>
      <c r="H60" s="39"/>
      <c r="I60" s="39"/>
      <c r="J60" s="39"/>
    </row>
    <row r="61" customFormat="false" ht="14.25" hidden="false" customHeight="true" outlineLevel="0" collapsed="false">
      <c r="B61" s="40" t="s">
        <v>55</v>
      </c>
      <c r="C61" s="39" t="s">
        <v>56</v>
      </c>
      <c r="D61" s="39"/>
      <c r="E61" s="39"/>
      <c r="F61" s="39"/>
      <c r="G61" s="39"/>
      <c r="H61" s="39"/>
      <c r="I61" s="39"/>
      <c r="J61" s="39"/>
    </row>
    <row r="62" customFormat="false" ht="14.25" hidden="false" customHeight="true" outlineLevel="0" collapsed="false">
      <c r="B62" s="41" t="s">
        <v>57</v>
      </c>
      <c r="C62" s="39" t="s">
        <v>58</v>
      </c>
      <c r="D62" s="39"/>
      <c r="E62" s="39"/>
      <c r="F62" s="39"/>
      <c r="G62" s="39"/>
      <c r="H62" s="39"/>
      <c r="I62" s="39"/>
      <c r="J62" s="39"/>
    </row>
    <row r="63" customFormat="false" ht="14.25" hidden="false" customHeight="true" outlineLevel="0" collapsed="false">
      <c r="B63" s="41" t="s">
        <v>57</v>
      </c>
      <c r="C63" s="39" t="s">
        <v>59</v>
      </c>
      <c r="D63" s="39"/>
      <c r="E63" s="39"/>
      <c r="F63" s="39"/>
      <c r="G63" s="39"/>
      <c r="H63" s="39"/>
      <c r="I63" s="39"/>
      <c r="J63" s="39"/>
    </row>
    <row r="64" customFormat="false" ht="14.25" hidden="false" customHeight="true" outlineLevel="0" collapsed="false">
      <c r="B64" s="42" t="s">
        <v>57</v>
      </c>
      <c r="C64" s="39" t="s">
        <v>60</v>
      </c>
      <c r="D64" s="39"/>
      <c r="E64" s="39"/>
      <c r="F64" s="39"/>
      <c r="G64" s="39"/>
      <c r="H64" s="39"/>
      <c r="I64" s="39"/>
      <c r="J64" s="39"/>
    </row>
  </sheetData>
  <mergeCells count="11">
    <mergeCell ref="C6:D6"/>
    <mergeCell ref="H6:I6"/>
    <mergeCell ref="C7:D7"/>
    <mergeCell ref="H7:I7"/>
    <mergeCell ref="C58:J58"/>
    <mergeCell ref="C59:J59"/>
    <mergeCell ref="C60:J60"/>
    <mergeCell ref="C61:J61"/>
    <mergeCell ref="C62:J62"/>
    <mergeCell ref="C63:J63"/>
    <mergeCell ref="C64:J6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AT1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J5" activePane="bottomRight" state="frozen"/>
      <selection pane="topLeft" activeCell="A1" activeCellId="0" sqref="A1"/>
      <selection pane="topRight" activeCell="J1" activeCellId="0" sqref="J1"/>
      <selection pane="bottomLeft" activeCell="A5" activeCellId="0" sqref="A5"/>
      <selection pane="bottomRight" activeCell="B5" activeCellId="0" sqref="B5"/>
    </sheetView>
  </sheetViews>
  <sheetFormatPr defaultColWidth="8.625" defaultRowHeight="14.25" zeroHeight="false" outlineLevelRow="0" outlineLevelCol="0"/>
  <cols>
    <col collapsed="false" customWidth="true" hidden="false" outlineLevel="0" max="1" min="1" style="1" width="9"/>
    <col collapsed="false" customWidth="true" hidden="false" outlineLevel="0" max="2" min="2" style="1" width="20.75"/>
    <col collapsed="false" customWidth="true" hidden="false" outlineLevel="0" max="3" min="3" style="1" width="16"/>
    <col collapsed="false" customWidth="true" hidden="false" outlineLevel="0" max="4" min="4" style="1" width="12"/>
    <col collapsed="false" customWidth="true" hidden="false" outlineLevel="0" max="5" min="5" style="1" width="9"/>
    <col collapsed="false" customWidth="true" hidden="false" outlineLevel="0" max="7" min="7" style="1" width="24"/>
    <col collapsed="false" customWidth="true" hidden="false" outlineLevel="0" max="8" min="8" style="1" width="18"/>
    <col collapsed="false" customWidth="true" hidden="false" outlineLevel="0" max="9" min="9" style="1" width="11"/>
    <col collapsed="false" customWidth="true" hidden="false" outlineLevel="0" max="10" min="10" style="1" width="46.13"/>
    <col collapsed="false" customWidth="true" hidden="false" outlineLevel="0" max="11" min="11" style="1" width="10"/>
    <col collapsed="false" customWidth="true" hidden="false" outlineLevel="0" max="12" min="12" style="1" width="7"/>
    <col collapsed="false" customWidth="true" hidden="false" outlineLevel="0" max="13" min="13" style="1" width="9"/>
    <col collapsed="false" customWidth="true" hidden="false" outlineLevel="0" max="14" min="14" style="1" width="6"/>
    <col collapsed="false" customWidth="true" hidden="false" outlineLevel="0" max="15" min="15" style="1" width="14"/>
    <col collapsed="false" customWidth="true" hidden="false" outlineLevel="0" max="16" min="16" style="1" width="10"/>
    <col collapsed="false" customWidth="true" hidden="false" outlineLevel="0" max="17" min="17" style="1" width="15"/>
    <col collapsed="false" customWidth="true" hidden="false" outlineLevel="0" max="18" min="18" style="1" width="8"/>
    <col collapsed="false" customWidth="true" hidden="false" outlineLevel="0" max="19" min="19" style="1" width="10"/>
    <col collapsed="false" customWidth="true" hidden="false" outlineLevel="0" max="20" min="20" style="1" width="13.13"/>
    <col collapsed="false" customWidth="true" hidden="false" outlineLevel="0" max="21" min="21" style="1" width="11"/>
    <col collapsed="false" customWidth="true" hidden="false" outlineLevel="0" max="22" min="22" style="1" width="13"/>
    <col collapsed="false" customWidth="true" hidden="false" outlineLevel="0" max="23" min="23" style="1" width="10"/>
    <col collapsed="false" customWidth="true" hidden="false" outlineLevel="0" max="24" min="24" style="1" width="16"/>
    <col collapsed="false" customWidth="true" hidden="false" outlineLevel="0" max="25" min="25" style="1" width="20.75"/>
    <col collapsed="false" customWidth="true" hidden="false" outlineLevel="0" max="26" min="26" style="1" width="20"/>
    <col collapsed="false" customWidth="true" hidden="false" outlineLevel="0" max="27" min="27" style="1" width="19.75"/>
    <col collapsed="false" customWidth="true" hidden="false" outlineLevel="0" max="28" min="28" style="1" width="21.62"/>
    <col collapsed="false" customWidth="true" hidden="false" outlineLevel="0" max="29" min="29" style="1" width="15"/>
    <col collapsed="false" customWidth="true" hidden="false" outlineLevel="0" max="30" min="30" style="1" width="19.13"/>
    <col collapsed="false" customWidth="true" hidden="false" outlineLevel="0" max="31" min="31" style="1" width="19.75"/>
    <col collapsed="false" customWidth="true" hidden="false" outlineLevel="0" max="32" min="32" style="1" width="20.62"/>
    <col collapsed="false" customWidth="true" hidden="false" outlineLevel="0" max="33" min="33" style="1" width="50"/>
    <col collapsed="false" customWidth="true" hidden="false" outlineLevel="0" max="34" min="34" style="1" width="13.38"/>
    <col collapsed="false" customWidth="true" hidden="false" outlineLevel="0" max="35" min="35" style="1" width="22.38"/>
    <col collapsed="false" customWidth="true" hidden="false" outlineLevel="0" max="36" min="36" style="1" width="26.88"/>
    <col collapsed="false" customWidth="true" hidden="false" outlineLevel="0" max="37" min="37" style="1" width="13"/>
    <col collapsed="false" customWidth="true" hidden="false" outlineLevel="0" max="45" min="45" style="1" width="138.25"/>
    <col collapsed="false" customWidth="true" hidden="false" outlineLevel="0" max="46" min="46" style="1" width="9"/>
  </cols>
  <sheetData>
    <row r="1" customFormat="false" ht="18" hidden="false" customHeight="true" outlineLevel="0" collapsed="false">
      <c r="A1" s="43" t="s">
        <v>61</v>
      </c>
      <c r="B1" s="44"/>
      <c r="C1" s="44"/>
      <c r="D1" s="44"/>
      <c r="E1" s="44"/>
      <c r="F1" s="44"/>
      <c r="G1" s="44"/>
      <c r="H1" s="44"/>
      <c r="I1" s="44"/>
      <c r="J1" s="44"/>
      <c r="K1" s="44"/>
      <c r="L1" s="44"/>
      <c r="M1" s="44"/>
      <c r="N1" s="44"/>
      <c r="O1" s="44"/>
      <c r="P1" s="44"/>
      <c r="Q1" s="44"/>
      <c r="R1" s="44"/>
      <c r="S1" s="44"/>
      <c r="T1" s="44"/>
      <c r="U1" s="44"/>
      <c r="V1" s="44"/>
      <c r="W1" s="44"/>
      <c r="X1" s="44"/>
      <c r="Y1" s="44"/>
      <c r="Z1" s="44"/>
    </row>
    <row r="2" customFormat="false" ht="14.25" hidden="false" customHeight="true" outlineLevel="0" collapsed="false">
      <c r="A2" s="45" t="s">
        <v>62</v>
      </c>
      <c r="B2" s="44"/>
      <c r="C2" s="44"/>
      <c r="D2" s="44"/>
      <c r="E2" s="44"/>
      <c r="F2" s="44"/>
      <c r="G2" s="44"/>
      <c r="H2" s="44"/>
      <c r="I2" s="44"/>
      <c r="J2" s="44"/>
      <c r="K2" s="44"/>
      <c r="L2" s="44"/>
      <c r="M2" s="44"/>
      <c r="N2" s="44"/>
      <c r="O2" s="44"/>
      <c r="P2" s="44"/>
      <c r="Q2" s="44"/>
      <c r="R2" s="44"/>
      <c r="S2" s="44"/>
      <c r="T2" s="44"/>
      <c r="U2" s="44"/>
      <c r="V2" s="44"/>
      <c r="W2" s="44"/>
      <c r="X2" s="44"/>
      <c r="Y2" s="44"/>
      <c r="Z2" s="44"/>
    </row>
    <row r="3" customFormat="false" ht="14.25" hidden="false" customHeight="true" outlineLevel="0" collapsed="false">
      <c r="A3" s="44"/>
      <c r="B3" s="44"/>
      <c r="C3" s="44"/>
      <c r="D3" s="44"/>
      <c r="E3" s="44"/>
      <c r="F3" s="44"/>
      <c r="G3" s="44"/>
      <c r="H3" s="44"/>
      <c r="I3" s="44"/>
      <c r="J3" s="44"/>
      <c r="K3" s="44"/>
      <c r="L3" s="44"/>
      <c r="M3" s="44"/>
      <c r="N3" s="44"/>
      <c r="O3" s="44"/>
      <c r="P3" s="44"/>
      <c r="Q3" s="44"/>
      <c r="R3" s="44"/>
      <c r="S3" s="44"/>
      <c r="T3" s="44"/>
      <c r="U3" s="44"/>
      <c r="V3" s="44"/>
      <c r="W3" s="44"/>
      <c r="X3" s="44"/>
      <c r="Y3" s="44"/>
      <c r="Z3" s="44"/>
    </row>
    <row r="4" customFormat="false" ht="31.5" hidden="false" customHeight="true" outlineLevel="0" collapsed="false">
      <c r="A4" s="46" t="s">
        <v>63</v>
      </c>
      <c r="B4" s="46" t="s">
        <v>64</v>
      </c>
      <c r="C4" s="46" t="s">
        <v>65</v>
      </c>
      <c r="D4" s="46" t="s">
        <v>66</v>
      </c>
      <c r="E4" s="46" t="s">
        <v>67</v>
      </c>
      <c r="F4" s="46" t="s">
        <v>17</v>
      </c>
      <c r="G4" s="46" t="s">
        <v>68</v>
      </c>
      <c r="H4" s="46" t="s">
        <v>69</v>
      </c>
      <c r="I4" s="46" t="s">
        <v>70</v>
      </c>
      <c r="J4" s="46" t="s">
        <v>71</v>
      </c>
      <c r="K4" s="46" t="s">
        <v>72</v>
      </c>
      <c r="L4" s="46" t="s">
        <v>73</v>
      </c>
      <c r="M4" s="46" t="s">
        <v>74</v>
      </c>
      <c r="N4" s="46" t="s">
        <v>75</v>
      </c>
      <c r="O4" s="46" t="s">
        <v>76</v>
      </c>
      <c r="P4" s="46" t="s">
        <v>77</v>
      </c>
      <c r="Q4" s="46" t="s">
        <v>78</v>
      </c>
      <c r="R4" s="46" t="s">
        <v>79</v>
      </c>
      <c r="S4" s="46" t="s">
        <v>80</v>
      </c>
      <c r="T4" s="46" t="s">
        <v>81</v>
      </c>
      <c r="U4" s="46" t="s">
        <v>82</v>
      </c>
      <c r="V4" s="46" t="s">
        <v>83</v>
      </c>
      <c r="W4" s="46" t="s">
        <v>84</v>
      </c>
      <c r="X4" s="46" t="s">
        <v>85</v>
      </c>
      <c r="Y4" s="46" t="s">
        <v>86</v>
      </c>
      <c r="Z4" s="46" t="s">
        <v>87</v>
      </c>
      <c r="AA4" s="46" t="s">
        <v>88</v>
      </c>
      <c r="AB4" s="46" t="s">
        <v>89</v>
      </c>
      <c r="AC4" s="46" t="s">
        <v>90</v>
      </c>
      <c r="AD4" s="46" t="s">
        <v>91</v>
      </c>
      <c r="AE4" s="46" t="s">
        <v>92</v>
      </c>
      <c r="AF4" s="46" t="s">
        <v>93</v>
      </c>
      <c r="AG4" s="46" t="s">
        <v>94</v>
      </c>
      <c r="AH4" s="46" t="s">
        <v>95</v>
      </c>
      <c r="AI4" s="46" t="s">
        <v>96</v>
      </c>
      <c r="AJ4" s="46" t="s">
        <v>97</v>
      </c>
      <c r="AK4" s="46" t="s">
        <v>98</v>
      </c>
      <c r="AL4" s="46" t="s">
        <v>99</v>
      </c>
      <c r="AM4" s="46" t="s">
        <v>100</v>
      </c>
      <c r="AN4" s="46" t="s">
        <v>101</v>
      </c>
      <c r="AO4" s="46" t="s">
        <v>102</v>
      </c>
      <c r="AP4" s="46" t="s">
        <v>103</v>
      </c>
      <c r="AQ4" s="46" t="s">
        <v>104</v>
      </c>
      <c r="AR4" s="46" t="s">
        <v>105</v>
      </c>
      <c r="AS4" s="46" t="s">
        <v>106</v>
      </c>
      <c r="AT4" s="46" t="s">
        <v>107</v>
      </c>
    </row>
    <row r="5" customFormat="false" ht="27" hidden="false" customHeight="true" outlineLevel="0" collapsed="false">
      <c r="A5" s="47" t="n">
        <v>1</v>
      </c>
      <c r="B5" s="47" t="s">
        <v>108</v>
      </c>
      <c r="C5" s="47" t="s">
        <v>109</v>
      </c>
      <c r="D5" s="48" t="n">
        <v>46277</v>
      </c>
      <c r="E5" s="49" t="n">
        <f aca="false">YEAR(D5)</f>
        <v>2026</v>
      </c>
      <c r="F5" s="50" t="str">
        <f aca="false">TEXT(D5,"mmm")</f>
        <v>Sep</v>
      </c>
      <c r="G5" s="47" t="s">
        <v>24</v>
      </c>
      <c r="H5" s="47" t="s">
        <v>110</v>
      </c>
      <c r="I5" s="47" t="s">
        <v>111</v>
      </c>
      <c r="J5" s="47" t="s">
        <v>112</v>
      </c>
      <c r="K5" s="47" t="s">
        <v>113</v>
      </c>
      <c r="L5" s="47" t="n">
        <v>103</v>
      </c>
      <c r="M5" s="47" t="n">
        <v>824</v>
      </c>
      <c r="N5" s="47" t="s">
        <v>114</v>
      </c>
      <c r="O5" s="51" t="n">
        <v>624</v>
      </c>
      <c r="P5" s="51" t="n">
        <v>0</v>
      </c>
      <c r="Q5" s="52" t="n">
        <f aca="false">M5*O5-P5</f>
        <v>514176</v>
      </c>
      <c r="R5" s="53" t="n">
        <v>0.05</v>
      </c>
      <c r="S5" s="47" t="s">
        <v>37</v>
      </c>
      <c r="T5" s="52" t="n">
        <f aca="false">IF(S5="IGST",ROUND(Q5*R5,2),0)</f>
        <v>25708.8</v>
      </c>
      <c r="U5" s="52" t="n">
        <f aca="false">IF(S5="CGST+SGST",ROUND(Q5*R5/2,2),0)</f>
        <v>0</v>
      </c>
      <c r="V5" s="52" t="n">
        <f aca="false">U5</f>
        <v>0</v>
      </c>
      <c r="W5" s="51" t="n">
        <v>0.2</v>
      </c>
      <c r="X5" s="52" t="n">
        <f aca="false">Q5+T5+U5+V5+W5</f>
        <v>539885</v>
      </c>
      <c r="Y5" s="52" t="n">
        <f aca="false">ROUND(Q5*AT5,0)</f>
        <v>514</v>
      </c>
      <c r="Z5" s="52" t="n">
        <f aca="false">X5-Y5</f>
        <v>539371</v>
      </c>
      <c r="AA5" s="47"/>
      <c r="AB5" s="47"/>
      <c r="AC5" s="47"/>
      <c r="AD5" s="47" t="s">
        <v>115</v>
      </c>
      <c r="AE5" s="47" t="s">
        <v>116</v>
      </c>
      <c r="AF5" s="47" t="s">
        <v>117</v>
      </c>
      <c r="AG5" s="47" t="s">
        <v>118</v>
      </c>
      <c r="AH5" s="48" t="n">
        <v>46150</v>
      </c>
      <c r="AI5" s="47" t="s">
        <v>119</v>
      </c>
      <c r="AJ5" s="47" t="s">
        <v>120</v>
      </c>
      <c r="AK5" s="47" t="s">
        <v>121</v>
      </c>
      <c r="AL5" s="47" t="s">
        <v>122</v>
      </c>
      <c r="AM5" s="47" t="s">
        <v>123</v>
      </c>
      <c r="AN5" s="47" t="s">
        <v>124</v>
      </c>
      <c r="AO5" s="47" t="s">
        <v>125</v>
      </c>
      <c r="AP5" s="47" t="s">
        <v>126</v>
      </c>
      <c r="AQ5" s="47" t="s">
        <v>127</v>
      </c>
      <c r="AR5" s="47" t="s">
        <v>128</v>
      </c>
      <c r="AS5" s="47" t="s">
        <v>129</v>
      </c>
      <c r="AT5" s="54" t="n">
        <v>0.001</v>
      </c>
    </row>
    <row r="6" customFormat="false" ht="14.25" hidden="false" customHeight="true" outlineLevel="0" collapsed="false">
      <c r="A6" s="47" t="n">
        <v>2</v>
      </c>
      <c r="B6" s="47" t="s">
        <v>130</v>
      </c>
      <c r="C6" s="47" t="s">
        <v>131</v>
      </c>
      <c r="D6" s="48" t="n">
        <v>46283</v>
      </c>
      <c r="E6" s="49" t="n">
        <f aca="false">YEAR(D6)</f>
        <v>2026</v>
      </c>
      <c r="F6" s="50" t="str">
        <f aca="false">TEXT(D6,"mmm")</f>
        <v>Sep</v>
      </c>
      <c r="G6" s="47" t="s">
        <v>22</v>
      </c>
      <c r="H6" s="47" t="s">
        <v>132</v>
      </c>
      <c r="I6" s="47" t="s">
        <v>133</v>
      </c>
      <c r="J6" s="47" t="s">
        <v>134</v>
      </c>
      <c r="K6" s="47" t="s">
        <v>135</v>
      </c>
      <c r="L6" s="47"/>
      <c r="M6" s="47" t="n">
        <v>348</v>
      </c>
      <c r="N6" s="47" t="s">
        <v>136</v>
      </c>
      <c r="O6" s="51" t="n">
        <v>2875</v>
      </c>
      <c r="P6" s="51" t="n">
        <v>0</v>
      </c>
      <c r="Q6" s="52" t="n">
        <f aca="false">M6*O6-P6</f>
        <v>1000500</v>
      </c>
      <c r="R6" s="53" t="n">
        <v>0.18</v>
      </c>
      <c r="S6" s="47" t="s">
        <v>37</v>
      </c>
      <c r="T6" s="52" t="n">
        <f aca="false">IF(S6="IGST",ROUND(Q6*R6,2),0)</f>
        <v>180090</v>
      </c>
      <c r="U6" s="52" t="n">
        <f aca="false">IF(S6="CGST+SGST",ROUND(Q6*R6/2,2),0)</f>
        <v>0</v>
      </c>
      <c r="V6" s="52" t="n">
        <f aca="false">U6</f>
        <v>0</v>
      </c>
      <c r="W6" s="51" t="n">
        <v>0</v>
      </c>
      <c r="X6" s="52" t="n">
        <f aca="false">Q6+T6+U6+V6+W6</f>
        <v>1180590</v>
      </c>
      <c r="Y6" s="52" t="n">
        <f aca="false">ROUND(Q6*AT6,0)</f>
        <v>1001</v>
      </c>
      <c r="Z6" s="52" t="n">
        <f aca="false">X6-Y6</f>
        <v>1179589</v>
      </c>
      <c r="AA6" s="47"/>
      <c r="AB6" s="47"/>
      <c r="AC6" s="47"/>
      <c r="AD6" s="47" t="s">
        <v>137</v>
      </c>
      <c r="AE6" s="47" t="s">
        <v>116</v>
      </c>
      <c r="AF6" s="47" t="s">
        <v>117</v>
      </c>
      <c r="AG6" s="47" t="s">
        <v>138</v>
      </c>
      <c r="AH6" s="48"/>
      <c r="AI6" s="47"/>
      <c r="AJ6" s="47"/>
      <c r="AK6" s="47" t="s">
        <v>139</v>
      </c>
      <c r="AL6" s="47" t="s">
        <v>140</v>
      </c>
      <c r="AM6" s="47" t="s">
        <v>141</v>
      </c>
      <c r="AN6" s="47" t="s">
        <v>142</v>
      </c>
      <c r="AO6" s="47" t="s">
        <v>143</v>
      </c>
      <c r="AP6" s="47"/>
      <c r="AQ6" s="47" t="s">
        <v>144</v>
      </c>
      <c r="AR6" s="47" t="s">
        <v>145</v>
      </c>
      <c r="AS6" s="47" t="s">
        <v>129</v>
      </c>
      <c r="AT6" s="54" t="n">
        <v>0.001</v>
      </c>
    </row>
    <row r="7" customFormat="false" ht="14.25" hidden="false" customHeight="true" outlineLevel="0" collapsed="false">
      <c r="A7" s="47" t="n">
        <v>3</v>
      </c>
      <c r="B7" s="47" t="s">
        <v>146</v>
      </c>
      <c r="C7" s="47" t="s">
        <v>147</v>
      </c>
      <c r="D7" s="48" t="n">
        <v>46290</v>
      </c>
      <c r="E7" s="49" t="n">
        <f aca="false">YEAR(D7)</f>
        <v>2026</v>
      </c>
      <c r="F7" s="50" t="str">
        <f aca="false">TEXT(D7,"mmm")</f>
        <v>Sep</v>
      </c>
      <c r="G7" s="47" t="s">
        <v>23</v>
      </c>
      <c r="H7" s="47"/>
      <c r="I7" s="47" t="s">
        <v>148</v>
      </c>
      <c r="J7" s="47" t="s">
        <v>149</v>
      </c>
      <c r="K7" s="47" t="s">
        <v>150</v>
      </c>
      <c r="L7" s="47"/>
      <c r="M7" s="47" t="n">
        <v>200</v>
      </c>
      <c r="N7" s="47" t="s">
        <v>151</v>
      </c>
      <c r="O7" s="51" t="n">
        <f aca="false">10.1*95.8179</f>
        <v>967.76079</v>
      </c>
      <c r="P7" s="51" t="n">
        <v>0</v>
      </c>
      <c r="Q7" s="52" t="n">
        <f aca="false">M7*O7-P7</f>
        <v>193552.158</v>
      </c>
      <c r="R7" s="53" t="n">
        <v>0</v>
      </c>
      <c r="S7" s="47" t="s">
        <v>41</v>
      </c>
      <c r="T7" s="52" t="n">
        <f aca="false">IF(S7="IGST",ROUND(Q7*R7,2),0)</f>
        <v>0</v>
      </c>
      <c r="U7" s="52" t="n">
        <f aca="false">IF(S7="CGST+SGST",ROUND(Q7*R7/2,2),0)</f>
        <v>0</v>
      </c>
      <c r="V7" s="52" t="n">
        <f aca="false">U7</f>
        <v>0</v>
      </c>
      <c r="W7" s="51" t="n">
        <v>0</v>
      </c>
      <c r="X7" s="52" t="n">
        <f aca="false">Q7+T7+U7+V7+W7</f>
        <v>193552.158</v>
      </c>
      <c r="Y7" s="52" t="n">
        <f aca="false">ROUND(Q7*AT7,0)</f>
        <v>0</v>
      </c>
      <c r="Z7" s="52" t="n">
        <f aca="false">X7-Y7</f>
        <v>193552.158</v>
      </c>
      <c r="AA7" s="47"/>
      <c r="AB7" s="47"/>
      <c r="AC7" s="47"/>
      <c r="AD7" s="47" t="s">
        <v>152</v>
      </c>
      <c r="AE7" s="47" t="s">
        <v>116</v>
      </c>
      <c r="AF7" s="47" t="s">
        <v>117</v>
      </c>
      <c r="AG7" s="47" t="s">
        <v>153</v>
      </c>
      <c r="AH7" s="48"/>
      <c r="AI7" s="47"/>
      <c r="AJ7" s="47" t="s">
        <v>154</v>
      </c>
      <c r="AK7" s="47"/>
      <c r="AL7" s="47"/>
      <c r="AM7" s="47"/>
      <c r="AN7" s="47"/>
      <c r="AO7" s="47"/>
      <c r="AP7" s="47"/>
      <c r="AQ7" s="47"/>
      <c r="AR7" s="47" t="s">
        <v>155</v>
      </c>
      <c r="AS7" s="47" t="s">
        <v>156</v>
      </c>
      <c r="AT7" s="54" t="n">
        <v>0</v>
      </c>
    </row>
    <row r="8" customFormat="false" ht="14.25" hidden="false" customHeight="true" outlineLevel="0" collapsed="false">
      <c r="A8" s="47" t="n">
        <v>4</v>
      </c>
      <c r="B8" s="47" t="s">
        <v>146</v>
      </c>
      <c r="C8" s="47" t="s">
        <v>147</v>
      </c>
      <c r="D8" s="48" t="n">
        <v>46290</v>
      </c>
      <c r="E8" s="49" t="n">
        <f aca="false">YEAR(D8)</f>
        <v>2026</v>
      </c>
      <c r="F8" s="50" t="str">
        <f aca="false">TEXT(D8,"mmm")</f>
        <v>Sep</v>
      </c>
      <c r="G8" s="47" t="s">
        <v>23</v>
      </c>
      <c r="H8" s="47"/>
      <c r="I8" s="47" t="s">
        <v>157</v>
      </c>
      <c r="J8" s="47" t="s">
        <v>158</v>
      </c>
      <c r="K8" s="47" t="s">
        <v>150</v>
      </c>
      <c r="L8" s="47"/>
      <c r="M8" s="47" t="n">
        <v>144</v>
      </c>
      <c r="N8" s="47" t="s">
        <v>151</v>
      </c>
      <c r="O8" s="51" t="n">
        <f aca="false">5.4*95.8179</f>
        <v>517.41666</v>
      </c>
      <c r="P8" s="51" t="n">
        <v>0</v>
      </c>
      <c r="Q8" s="52" t="n">
        <f aca="false">M8*O8-P8</f>
        <v>74507.99904</v>
      </c>
      <c r="R8" s="53" t="n">
        <v>0</v>
      </c>
      <c r="S8" s="47" t="s">
        <v>41</v>
      </c>
      <c r="T8" s="52" t="n">
        <f aca="false">IF(S8="IGST",ROUND(Q8*R8,2),0)</f>
        <v>0</v>
      </c>
      <c r="U8" s="52" t="n">
        <f aca="false">IF(S8="CGST+SGST",ROUND(Q8*R8/2,2),0)</f>
        <v>0</v>
      </c>
      <c r="V8" s="52" t="n">
        <f aca="false">U8</f>
        <v>0</v>
      </c>
      <c r="W8" s="51" t="n">
        <v>0</v>
      </c>
      <c r="X8" s="52" t="n">
        <f aca="false">Q8+T8+U8+V8+W8</f>
        <v>74507.99904</v>
      </c>
      <c r="Y8" s="52" t="n">
        <f aca="false">ROUND(Q8*AT8,0)</f>
        <v>0</v>
      </c>
      <c r="Z8" s="52" t="n">
        <f aca="false">X8-Y8</f>
        <v>74507.99904</v>
      </c>
      <c r="AA8" s="47"/>
      <c r="AB8" s="47"/>
      <c r="AC8" s="47"/>
      <c r="AD8" s="47" t="s">
        <v>152</v>
      </c>
      <c r="AE8" s="47" t="s">
        <v>116</v>
      </c>
      <c r="AF8" s="47" t="s">
        <v>117</v>
      </c>
      <c r="AG8" s="47" t="s">
        <v>153</v>
      </c>
      <c r="AH8" s="48"/>
      <c r="AI8" s="47"/>
      <c r="AJ8" s="47" t="s">
        <v>154</v>
      </c>
      <c r="AK8" s="47"/>
      <c r="AL8" s="47"/>
      <c r="AM8" s="47"/>
      <c r="AN8" s="47"/>
      <c r="AO8" s="47"/>
      <c r="AP8" s="47"/>
      <c r="AQ8" s="47"/>
      <c r="AR8" s="47" t="s">
        <v>155</v>
      </c>
      <c r="AS8" s="47" t="s">
        <v>156</v>
      </c>
      <c r="AT8" s="54" t="n">
        <v>0</v>
      </c>
    </row>
    <row r="9" customFormat="false" ht="14.25" hidden="false" customHeight="true" outlineLevel="0" collapsed="false">
      <c r="A9" s="47" t="n">
        <v>5</v>
      </c>
      <c r="B9" s="47" t="s">
        <v>146</v>
      </c>
      <c r="C9" s="47" t="s">
        <v>147</v>
      </c>
      <c r="D9" s="48" t="n">
        <v>46290</v>
      </c>
      <c r="E9" s="49" t="n">
        <f aca="false">YEAR(D9)</f>
        <v>2026</v>
      </c>
      <c r="F9" s="50" t="str">
        <f aca="false">TEXT(D9,"mmm")</f>
        <v>Sep</v>
      </c>
      <c r="G9" s="47" t="s">
        <v>23</v>
      </c>
      <c r="H9" s="47"/>
      <c r="I9" s="47" t="s">
        <v>159</v>
      </c>
      <c r="J9" s="47" t="s">
        <v>160</v>
      </c>
      <c r="K9" s="47" t="s">
        <v>150</v>
      </c>
      <c r="L9" s="47"/>
      <c r="M9" s="47" t="n">
        <v>384</v>
      </c>
      <c r="N9" s="47" t="s">
        <v>151</v>
      </c>
      <c r="O9" s="51" t="n">
        <f aca="false">2.3*95.8179</f>
        <v>220.38117</v>
      </c>
      <c r="P9" s="51" t="n">
        <v>0</v>
      </c>
      <c r="Q9" s="52" t="n">
        <f aca="false">M9*O9-P9</f>
        <v>84626.36928</v>
      </c>
      <c r="R9" s="53" t="n">
        <v>0</v>
      </c>
      <c r="S9" s="47" t="s">
        <v>41</v>
      </c>
      <c r="T9" s="52" t="n">
        <f aca="false">IF(S9="IGST",ROUND(Q9*R9,2),0)</f>
        <v>0</v>
      </c>
      <c r="U9" s="52" t="n">
        <f aca="false">IF(S9="CGST+SGST",ROUND(Q9*R9/2,2),0)</f>
        <v>0</v>
      </c>
      <c r="V9" s="52" t="n">
        <f aca="false">U9</f>
        <v>0</v>
      </c>
      <c r="W9" s="51" t="n">
        <v>0</v>
      </c>
      <c r="X9" s="52" t="n">
        <f aca="false">Q9+T9+U9+V9+W9</f>
        <v>84626.36928</v>
      </c>
      <c r="Y9" s="52" t="n">
        <f aca="false">ROUND(Q9*AT9,0)</f>
        <v>0</v>
      </c>
      <c r="Z9" s="52" t="n">
        <f aca="false">X9-Y9</f>
        <v>84626.36928</v>
      </c>
      <c r="AA9" s="47"/>
      <c r="AB9" s="47"/>
      <c r="AC9" s="47"/>
      <c r="AD9" s="47" t="s">
        <v>152</v>
      </c>
      <c r="AE9" s="47" t="s">
        <v>116</v>
      </c>
      <c r="AF9" s="47" t="s">
        <v>117</v>
      </c>
      <c r="AG9" s="47" t="s">
        <v>153</v>
      </c>
      <c r="AH9" s="48"/>
      <c r="AI9" s="47"/>
      <c r="AJ9" s="47" t="s">
        <v>154</v>
      </c>
      <c r="AK9" s="47"/>
      <c r="AL9" s="47"/>
      <c r="AM9" s="47"/>
      <c r="AN9" s="47"/>
      <c r="AO9" s="47"/>
      <c r="AP9" s="47"/>
      <c r="AQ9" s="47"/>
      <c r="AR9" s="47" t="s">
        <v>155</v>
      </c>
      <c r="AS9" s="47" t="s">
        <v>156</v>
      </c>
      <c r="AT9" s="54" t="n">
        <v>0</v>
      </c>
    </row>
    <row r="10" customFormat="false" ht="14.25" hidden="false" customHeight="true" outlineLevel="0" collapsed="false">
      <c r="A10" s="47" t="n">
        <v>6</v>
      </c>
      <c r="B10" s="47" t="s">
        <v>146</v>
      </c>
      <c r="C10" s="47" t="s">
        <v>147</v>
      </c>
      <c r="D10" s="48" t="n">
        <v>46290</v>
      </c>
      <c r="E10" s="49" t="n">
        <f aca="false">YEAR(D10)</f>
        <v>2026</v>
      </c>
      <c r="F10" s="50" t="str">
        <f aca="false">TEXT(D10,"mmm")</f>
        <v>Sep</v>
      </c>
      <c r="G10" s="47" t="s">
        <v>23</v>
      </c>
      <c r="H10" s="47"/>
      <c r="I10" s="47" t="s">
        <v>161</v>
      </c>
      <c r="J10" s="47" t="s">
        <v>162</v>
      </c>
      <c r="K10" s="47" t="s">
        <v>150</v>
      </c>
      <c r="L10" s="47"/>
      <c r="M10" s="47" t="n">
        <v>304</v>
      </c>
      <c r="N10" s="47" t="s">
        <v>151</v>
      </c>
      <c r="O10" s="51" t="n">
        <f aca="false">6.5*95.8179</f>
        <v>622.81635</v>
      </c>
      <c r="P10" s="51" t="n">
        <v>0</v>
      </c>
      <c r="Q10" s="52" t="n">
        <f aca="false">M10*O10-P10</f>
        <v>189336.1704</v>
      </c>
      <c r="R10" s="53" t="n">
        <v>0</v>
      </c>
      <c r="S10" s="47" t="s">
        <v>41</v>
      </c>
      <c r="T10" s="52" t="n">
        <f aca="false">IF(S10="IGST",ROUND(Q10*R10,2),0)</f>
        <v>0</v>
      </c>
      <c r="U10" s="52" t="n">
        <f aca="false">IF(S10="CGST+SGST",ROUND(Q10*R10/2,2),0)</f>
        <v>0</v>
      </c>
      <c r="V10" s="52" t="n">
        <f aca="false">U10</f>
        <v>0</v>
      </c>
      <c r="W10" s="51" t="n">
        <v>0</v>
      </c>
      <c r="X10" s="52" t="n">
        <f aca="false">Q10+T10+U10+V10+W10</f>
        <v>189336.1704</v>
      </c>
      <c r="Y10" s="52" t="n">
        <f aca="false">ROUND(Q10*AT10,0)</f>
        <v>0</v>
      </c>
      <c r="Z10" s="52" t="n">
        <f aca="false">X10-Y10</f>
        <v>189336.1704</v>
      </c>
      <c r="AA10" s="47"/>
      <c r="AB10" s="47"/>
      <c r="AC10" s="47"/>
      <c r="AD10" s="47" t="s">
        <v>152</v>
      </c>
      <c r="AE10" s="47" t="s">
        <v>116</v>
      </c>
      <c r="AF10" s="47" t="s">
        <v>117</v>
      </c>
      <c r="AG10" s="47" t="s">
        <v>153</v>
      </c>
      <c r="AH10" s="48"/>
      <c r="AI10" s="47"/>
      <c r="AJ10" s="47" t="s">
        <v>154</v>
      </c>
      <c r="AK10" s="47"/>
      <c r="AL10" s="47"/>
      <c r="AM10" s="47"/>
      <c r="AN10" s="47"/>
      <c r="AO10" s="47"/>
      <c r="AP10" s="47"/>
      <c r="AQ10" s="47"/>
      <c r="AR10" s="47" t="s">
        <v>155</v>
      </c>
      <c r="AS10" s="47" t="s">
        <v>156</v>
      </c>
      <c r="AT10" s="54" t="n">
        <v>0</v>
      </c>
    </row>
    <row r="11" customFormat="false" ht="14.25" hidden="false" customHeight="true" outlineLevel="0" collapsed="false">
      <c r="A11" s="47" t="n">
        <v>7</v>
      </c>
      <c r="B11" s="47" t="s">
        <v>146</v>
      </c>
      <c r="C11" s="47" t="s">
        <v>147</v>
      </c>
      <c r="D11" s="48" t="n">
        <v>46290</v>
      </c>
      <c r="E11" s="49" t="n">
        <f aca="false">YEAR(D11)</f>
        <v>2026</v>
      </c>
      <c r="F11" s="50" t="str">
        <f aca="false">TEXT(D11,"mmm")</f>
        <v>Sep</v>
      </c>
      <c r="G11" s="47" t="s">
        <v>23</v>
      </c>
      <c r="H11" s="47"/>
      <c r="I11" s="47" t="s">
        <v>163</v>
      </c>
      <c r="J11" s="47" t="s">
        <v>164</v>
      </c>
      <c r="K11" s="47" t="s">
        <v>150</v>
      </c>
      <c r="L11" s="47"/>
      <c r="M11" s="47" t="n">
        <v>432</v>
      </c>
      <c r="N11" s="47" t="s">
        <v>151</v>
      </c>
      <c r="O11" s="51" t="n">
        <f aca="false">1.6*95.8179</f>
        <v>153.30864</v>
      </c>
      <c r="P11" s="51" t="n">
        <v>0</v>
      </c>
      <c r="Q11" s="52" t="n">
        <f aca="false">M11*O11-P11</f>
        <v>66229.33248</v>
      </c>
      <c r="R11" s="53" t="n">
        <v>0</v>
      </c>
      <c r="S11" s="47" t="s">
        <v>41</v>
      </c>
      <c r="T11" s="52" t="n">
        <f aca="false">IF(S11="IGST",ROUND(Q11*R11,2),0)</f>
        <v>0</v>
      </c>
      <c r="U11" s="52" t="n">
        <f aca="false">IF(S11="CGST+SGST",ROUND(Q11*R11/2,2),0)</f>
        <v>0</v>
      </c>
      <c r="V11" s="52" t="n">
        <f aca="false">U11</f>
        <v>0</v>
      </c>
      <c r="W11" s="51" t="n">
        <v>0</v>
      </c>
      <c r="X11" s="52" t="n">
        <f aca="false">Q11+T11+U11+V11+W11</f>
        <v>66229.33248</v>
      </c>
      <c r="Y11" s="52" t="n">
        <f aca="false">ROUND(Q11*AT11,0)</f>
        <v>0</v>
      </c>
      <c r="Z11" s="52" t="n">
        <f aca="false">X11-Y11</f>
        <v>66229.33248</v>
      </c>
      <c r="AA11" s="47"/>
      <c r="AB11" s="47"/>
      <c r="AC11" s="47"/>
      <c r="AD11" s="47" t="s">
        <v>152</v>
      </c>
      <c r="AE11" s="47" t="s">
        <v>116</v>
      </c>
      <c r="AF11" s="47" t="s">
        <v>117</v>
      </c>
      <c r="AG11" s="47" t="s">
        <v>153</v>
      </c>
      <c r="AH11" s="48"/>
      <c r="AI11" s="47"/>
      <c r="AJ11" s="47" t="s">
        <v>154</v>
      </c>
      <c r="AK11" s="47"/>
      <c r="AL11" s="47"/>
      <c r="AM11" s="47"/>
      <c r="AN11" s="47"/>
      <c r="AO11" s="47"/>
      <c r="AP11" s="47"/>
      <c r="AQ11" s="47"/>
      <c r="AR11" s="47" t="s">
        <v>155</v>
      </c>
      <c r="AS11" s="47" t="s">
        <v>156</v>
      </c>
      <c r="AT11" s="54" t="n">
        <v>0</v>
      </c>
    </row>
    <row r="12" customFormat="false" ht="14.25" hidden="false" customHeight="true" outlineLevel="0" collapsed="false">
      <c r="A12" s="47" t="n">
        <v>8</v>
      </c>
      <c r="B12" s="47" t="s">
        <v>146</v>
      </c>
      <c r="C12" s="47" t="s">
        <v>147</v>
      </c>
      <c r="D12" s="48" t="n">
        <v>46290</v>
      </c>
      <c r="E12" s="49" t="n">
        <f aca="false">YEAR(D12)</f>
        <v>2026</v>
      </c>
      <c r="F12" s="50" t="str">
        <f aca="false">TEXT(D12,"mmm")</f>
        <v>Sep</v>
      </c>
      <c r="G12" s="47" t="s">
        <v>23</v>
      </c>
      <c r="H12" s="47"/>
      <c r="I12" s="47" t="s">
        <v>165</v>
      </c>
      <c r="J12" s="47" t="s">
        <v>158</v>
      </c>
      <c r="K12" s="47" t="s">
        <v>150</v>
      </c>
      <c r="L12" s="47"/>
      <c r="M12" s="47" t="n">
        <v>312</v>
      </c>
      <c r="N12" s="47" t="s">
        <v>151</v>
      </c>
      <c r="O12" s="51" t="n">
        <f aca="false">5.8*95.8179</f>
        <v>555.74382</v>
      </c>
      <c r="P12" s="51" t="n">
        <v>0</v>
      </c>
      <c r="Q12" s="52" t="n">
        <f aca="false">M12*O12-P12</f>
        <v>173392.07184</v>
      </c>
      <c r="R12" s="53" t="n">
        <v>0</v>
      </c>
      <c r="S12" s="47" t="s">
        <v>41</v>
      </c>
      <c r="T12" s="52" t="n">
        <f aca="false">IF(S12="IGST",ROUND(Q12*R12,2),0)</f>
        <v>0</v>
      </c>
      <c r="U12" s="52" t="n">
        <f aca="false">IF(S12="CGST+SGST",ROUND(Q12*R12/2,2),0)</f>
        <v>0</v>
      </c>
      <c r="V12" s="52" t="n">
        <f aca="false">U12</f>
        <v>0</v>
      </c>
      <c r="W12" s="51" t="n">
        <v>0</v>
      </c>
      <c r="X12" s="52" t="n">
        <f aca="false">Q12+T12+U12+V12+W12</f>
        <v>173392.07184</v>
      </c>
      <c r="Y12" s="52" t="n">
        <f aca="false">ROUND(Q12*AT12,0)</f>
        <v>0</v>
      </c>
      <c r="Z12" s="52" t="n">
        <f aca="false">X12-Y12</f>
        <v>173392.07184</v>
      </c>
      <c r="AA12" s="47"/>
      <c r="AB12" s="47"/>
      <c r="AC12" s="47"/>
      <c r="AD12" s="47" t="s">
        <v>152</v>
      </c>
      <c r="AE12" s="47" t="s">
        <v>116</v>
      </c>
      <c r="AF12" s="47" t="s">
        <v>117</v>
      </c>
      <c r="AG12" s="47" t="s">
        <v>153</v>
      </c>
      <c r="AH12" s="48"/>
      <c r="AI12" s="47"/>
      <c r="AJ12" s="47" t="s">
        <v>154</v>
      </c>
      <c r="AK12" s="47"/>
      <c r="AL12" s="47"/>
      <c r="AM12" s="47"/>
      <c r="AN12" s="47"/>
      <c r="AO12" s="47"/>
      <c r="AP12" s="47"/>
      <c r="AQ12" s="47"/>
      <c r="AR12" s="47" t="s">
        <v>155</v>
      </c>
      <c r="AS12" s="47" t="s">
        <v>156</v>
      </c>
      <c r="AT12" s="54" t="n">
        <v>0</v>
      </c>
    </row>
    <row r="13" customFormat="false" ht="14.25" hidden="false" customHeight="true" outlineLevel="0" collapsed="false">
      <c r="A13" s="47" t="n">
        <v>9</v>
      </c>
      <c r="B13" s="47" t="s">
        <v>146</v>
      </c>
      <c r="C13" s="47" t="s">
        <v>147</v>
      </c>
      <c r="D13" s="48" t="n">
        <v>46290</v>
      </c>
      <c r="E13" s="49" t="n">
        <f aca="false">YEAR(D13)</f>
        <v>2026</v>
      </c>
      <c r="F13" s="50" t="str">
        <f aca="false">TEXT(D13,"mmm")</f>
        <v>Sep</v>
      </c>
      <c r="G13" s="47" t="s">
        <v>23</v>
      </c>
      <c r="H13" s="47"/>
      <c r="I13" s="47" t="s">
        <v>166</v>
      </c>
      <c r="J13" s="47" t="s">
        <v>158</v>
      </c>
      <c r="K13" s="47" t="s">
        <v>150</v>
      </c>
      <c r="L13" s="47"/>
      <c r="M13" s="47" t="n">
        <v>216</v>
      </c>
      <c r="N13" s="47" t="s">
        <v>151</v>
      </c>
      <c r="O13" s="51" t="n">
        <f aca="false">5.8*95.8179</f>
        <v>555.74382</v>
      </c>
      <c r="P13" s="51" t="n">
        <v>0</v>
      </c>
      <c r="Q13" s="52" t="n">
        <f aca="false">M13*O13-P13</f>
        <v>120040.66512</v>
      </c>
      <c r="R13" s="53" t="n">
        <v>0</v>
      </c>
      <c r="S13" s="47" t="s">
        <v>41</v>
      </c>
      <c r="T13" s="52" t="n">
        <f aca="false">IF(S13="IGST",ROUND(Q13*R13,2),0)</f>
        <v>0</v>
      </c>
      <c r="U13" s="52" t="n">
        <f aca="false">IF(S13="CGST+SGST",ROUND(Q13*R13/2,2),0)</f>
        <v>0</v>
      </c>
      <c r="V13" s="52" t="n">
        <f aca="false">U13</f>
        <v>0</v>
      </c>
      <c r="W13" s="51" t="n">
        <v>0</v>
      </c>
      <c r="X13" s="52" t="n">
        <f aca="false">Q13+T13+U13+V13+W13</f>
        <v>120040.66512</v>
      </c>
      <c r="Y13" s="52" t="n">
        <f aca="false">ROUND(Q13*AT13,0)</f>
        <v>0</v>
      </c>
      <c r="Z13" s="52" t="n">
        <f aca="false">X13-Y13</f>
        <v>120040.66512</v>
      </c>
      <c r="AA13" s="47"/>
      <c r="AB13" s="47"/>
      <c r="AC13" s="47"/>
      <c r="AD13" s="47" t="s">
        <v>152</v>
      </c>
      <c r="AE13" s="47" t="s">
        <v>116</v>
      </c>
      <c r="AF13" s="47" t="s">
        <v>117</v>
      </c>
      <c r="AG13" s="47" t="s">
        <v>153</v>
      </c>
      <c r="AH13" s="48"/>
      <c r="AI13" s="47"/>
      <c r="AJ13" s="47" t="s">
        <v>154</v>
      </c>
      <c r="AK13" s="47"/>
      <c r="AL13" s="47"/>
      <c r="AM13" s="47"/>
      <c r="AN13" s="47"/>
      <c r="AO13" s="47"/>
      <c r="AP13" s="47"/>
      <c r="AQ13" s="47"/>
      <c r="AR13" s="47" t="s">
        <v>155</v>
      </c>
      <c r="AS13" s="47" t="s">
        <v>156</v>
      </c>
      <c r="AT13" s="54" t="n">
        <v>0</v>
      </c>
    </row>
    <row r="14" customFormat="false" ht="14.25" hidden="false" customHeight="true" outlineLevel="0" collapsed="false">
      <c r="A14" s="47" t="n">
        <v>10</v>
      </c>
      <c r="B14" s="47" t="s">
        <v>146</v>
      </c>
      <c r="C14" s="47" t="s">
        <v>147</v>
      </c>
      <c r="D14" s="48" t="n">
        <v>46290</v>
      </c>
      <c r="E14" s="49" t="n">
        <f aca="false">YEAR(D14)</f>
        <v>2026</v>
      </c>
      <c r="F14" s="50" t="str">
        <f aca="false">TEXT(D14,"mmm")</f>
        <v>Sep</v>
      </c>
      <c r="G14" s="47" t="s">
        <v>23</v>
      </c>
      <c r="H14" s="47"/>
      <c r="I14" s="47" t="s">
        <v>167</v>
      </c>
      <c r="J14" s="47" t="s">
        <v>162</v>
      </c>
      <c r="K14" s="47" t="s">
        <v>150</v>
      </c>
      <c r="L14" s="47"/>
      <c r="M14" s="47" t="n">
        <v>200</v>
      </c>
      <c r="N14" s="47" t="s">
        <v>151</v>
      </c>
      <c r="O14" s="51" t="n">
        <f aca="false">6.9*95.8179</f>
        <v>661.14351</v>
      </c>
      <c r="P14" s="51" t="n">
        <v>0</v>
      </c>
      <c r="Q14" s="52" t="n">
        <f aca="false">M14*O14-P14</f>
        <v>132228.702</v>
      </c>
      <c r="R14" s="53" t="n">
        <v>0</v>
      </c>
      <c r="S14" s="47" t="s">
        <v>41</v>
      </c>
      <c r="T14" s="52" t="n">
        <f aca="false">IF(S14="IGST",ROUND(Q14*R14,2),0)</f>
        <v>0</v>
      </c>
      <c r="U14" s="52" t="n">
        <f aca="false">IF(S14="CGST+SGST",ROUND(Q14*R14/2,2),0)</f>
        <v>0</v>
      </c>
      <c r="V14" s="52" t="n">
        <f aca="false">U14</f>
        <v>0</v>
      </c>
      <c r="W14" s="51" t="n">
        <v>0</v>
      </c>
      <c r="X14" s="52" t="n">
        <f aca="false">Q14+T14+U14+V14+W14</f>
        <v>132228.702</v>
      </c>
      <c r="Y14" s="52" t="n">
        <f aca="false">ROUND(Q14*AT14,0)</f>
        <v>0</v>
      </c>
      <c r="Z14" s="52" t="n">
        <f aca="false">X14-Y14</f>
        <v>132228.702</v>
      </c>
      <c r="AA14" s="47"/>
      <c r="AB14" s="47"/>
      <c r="AC14" s="47"/>
      <c r="AD14" s="47" t="s">
        <v>152</v>
      </c>
      <c r="AE14" s="47" t="s">
        <v>116</v>
      </c>
      <c r="AF14" s="47" t="s">
        <v>117</v>
      </c>
      <c r="AG14" s="47" t="s">
        <v>153</v>
      </c>
      <c r="AH14" s="48"/>
      <c r="AI14" s="47"/>
      <c r="AJ14" s="47" t="s">
        <v>154</v>
      </c>
      <c r="AK14" s="47"/>
      <c r="AL14" s="47"/>
      <c r="AM14" s="47"/>
      <c r="AN14" s="47"/>
      <c r="AO14" s="47"/>
      <c r="AP14" s="47"/>
      <c r="AQ14" s="47"/>
      <c r="AR14" s="47" t="s">
        <v>155</v>
      </c>
      <c r="AS14" s="47" t="s">
        <v>156</v>
      </c>
      <c r="AT14" s="54" t="n">
        <v>0</v>
      </c>
    </row>
    <row r="15" customFormat="false" ht="14.25" hidden="false" customHeight="true" outlineLevel="0" collapsed="false">
      <c r="A15" s="47" t="n">
        <v>11</v>
      </c>
      <c r="B15" s="47" t="s">
        <v>146</v>
      </c>
      <c r="C15" s="47" t="s">
        <v>147</v>
      </c>
      <c r="D15" s="48" t="n">
        <v>46290</v>
      </c>
      <c r="E15" s="49" t="n">
        <f aca="false">YEAR(D15)</f>
        <v>2026</v>
      </c>
      <c r="F15" s="50" t="str">
        <f aca="false">TEXT(D15,"mmm")</f>
        <v>Sep</v>
      </c>
      <c r="G15" s="47" t="s">
        <v>23</v>
      </c>
      <c r="H15" s="47"/>
      <c r="I15" s="47" t="s">
        <v>168</v>
      </c>
      <c r="J15" s="47" t="s">
        <v>169</v>
      </c>
      <c r="K15" s="47" t="s">
        <v>150</v>
      </c>
      <c r="L15" s="47"/>
      <c r="M15" s="47" t="n">
        <v>256</v>
      </c>
      <c r="N15" s="47" t="s">
        <v>151</v>
      </c>
      <c r="O15" s="51" t="n">
        <f aca="false">3.95*95.8179</f>
        <v>378.480705</v>
      </c>
      <c r="P15" s="51" t="n">
        <v>0</v>
      </c>
      <c r="Q15" s="52" t="n">
        <f aca="false">M15*O15-P15</f>
        <v>96891.06048</v>
      </c>
      <c r="R15" s="53" t="n">
        <v>0</v>
      </c>
      <c r="S15" s="47" t="s">
        <v>41</v>
      </c>
      <c r="T15" s="52" t="n">
        <f aca="false">IF(S15="IGST",ROUND(Q15*R15,2),0)</f>
        <v>0</v>
      </c>
      <c r="U15" s="52" t="n">
        <f aca="false">IF(S15="CGST+SGST",ROUND(Q15*R15/2,2),0)</f>
        <v>0</v>
      </c>
      <c r="V15" s="52" t="n">
        <f aca="false">U15</f>
        <v>0</v>
      </c>
      <c r="W15" s="51" t="n">
        <v>0</v>
      </c>
      <c r="X15" s="52" t="n">
        <f aca="false">Q15+T15+U15+V15+W15</f>
        <v>96891.06048</v>
      </c>
      <c r="Y15" s="52" t="n">
        <f aca="false">ROUND(Q15*AT15,0)</f>
        <v>0</v>
      </c>
      <c r="Z15" s="52" t="n">
        <f aca="false">X15-Y15</f>
        <v>96891.06048</v>
      </c>
      <c r="AA15" s="47"/>
      <c r="AB15" s="47"/>
      <c r="AC15" s="47"/>
      <c r="AD15" s="47" t="s">
        <v>152</v>
      </c>
      <c r="AE15" s="47" t="s">
        <v>116</v>
      </c>
      <c r="AF15" s="47" t="s">
        <v>117</v>
      </c>
      <c r="AG15" s="47" t="s">
        <v>153</v>
      </c>
      <c r="AH15" s="48"/>
      <c r="AI15" s="47"/>
      <c r="AJ15" s="47" t="s">
        <v>154</v>
      </c>
      <c r="AK15" s="47"/>
      <c r="AL15" s="47"/>
      <c r="AM15" s="47"/>
      <c r="AN15" s="47"/>
      <c r="AO15" s="47"/>
      <c r="AP15" s="47"/>
      <c r="AQ15" s="47"/>
      <c r="AR15" s="47" t="s">
        <v>155</v>
      </c>
      <c r="AS15" s="47" t="s">
        <v>156</v>
      </c>
      <c r="AT15" s="54" t="n">
        <v>0</v>
      </c>
    </row>
    <row r="16" customFormat="false" ht="14.25" hidden="false" customHeight="true" outlineLevel="0" collapsed="false">
      <c r="A16" s="47" t="n">
        <v>12</v>
      </c>
      <c r="B16" s="47" t="s">
        <v>146</v>
      </c>
      <c r="C16" s="47" t="s">
        <v>147</v>
      </c>
      <c r="D16" s="48" t="n">
        <v>46290</v>
      </c>
      <c r="E16" s="49" t="n">
        <f aca="false">YEAR(D16)</f>
        <v>2026</v>
      </c>
      <c r="F16" s="50" t="str">
        <f aca="false">TEXT(D16,"mmm")</f>
        <v>Sep</v>
      </c>
      <c r="G16" s="47" t="s">
        <v>23</v>
      </c>
      <c r="H16" s="47"/>
      <c r="I16" s="47"/>
      <c r="J16" s="47" t="s">
        <v>170</v>
      </c>
      <c r="K16" s="47"/>
      <c r="L16" s="47"/>
      <c r="M16" s="47" t="n">
        <v>1</v>
      </c>
      <c r="N16" s="47" t="s">
        <v>171</v>
      </c>
      <c r="O16" s="51" t="n">
        <f aca="false">350*95.8179</f>
        <v>33536.265</v>
      </c>
      <c r="P16" s="51" t="n">
        <v>0</v>
      </c>
      <c r="Q16" s="52" t="n">
        <f aca="false">M16*O16-P16</f>
        <v>33536.265</v>
      </c>
      <c r="R16" s="53" t="n">
        <v>0</v>
      </c>
      <c r="S16" s="47" t="s">
        <v>41</v>
      </c>
      <c r="T16" s="52" t="n">
        <f aca="false">IF(S16="IGST",ROUND(Q16*R16,2),0)</f>
        <v>0</v>
      </c>
      <c r="U16" s="52" t="n">
        <f aca="false">IF(S16="CGST+SGST",ROUND(Q16*R16/2,2),0)</f>
        <v>0</v>
      </c>
      <c r="V16" s="52" t="n">
        <f aca="false">U16</f>
        <v>0</v>
      </c>
      <c r="W16" s="51" t="n">
        <v>0</v>
      </c>
      <c r="X16" s="52" t="n">
        <f aca="false">Q16+T16+U16+V16+W16</f>
        <v>33536.265</v>
      </c>
      <c r="Y16" s="52" t="n">
        <f aca="false">ROUND(Q16*AT16,0)</f>
        <v>0</v>
      </c>
      <c r="Z16" s="52" t="n">
        <f aca="false">X16-Y16</f>
        <v>33536.265</v>
      </c>
      <c r="AA16" s="47"/>
      <c r="AB16" s="47"/>
      <c r="AC16" s="47"/>
      <c r="AD16" s="47" t="s">
        <v>152</v>
      </c>
      <c r="AE16" s="47" t="s">
        <v>116</v>
      </c>
      <c r="AF16" s="47" t="s">
        <v>117</v>
      </c>
      <c r="AG16" s="47" t="s">
        <v>153</v>
      </c>
      <c r="AH16" s="48"/>
      <c r="AI16" s="47"/>
      <c r="AJ16" s="47" t="s">
        <v>154</v>
      </c>
      <c r="AK16" s="47"/>
      <c r="AL16" s="47"/>
      <c r="AM16" s="47"/>
      <c r="AN16" s="47"/>
      <c r="AO16" s="47"/>
      <c r="AP16" s="47"/>
      <c r="AQ16" s="47"/>
      <c r="AR16" s="47" t="s">
        <v>155</v>
      </c>
      <c r="AS16" s="47" t="s">
        <v>156</v>
      </c>
      <c r="AT16" s="54" t="n">
        <v>0</v>
      </c>
    </row>
    <row r="17" customFormat="false" ht="14.25" hidden="false" customHeight="true" outlineLevel="0" collapsed="false">
      <c r="A17" s="47" t="n">
        <v>13</v>
      </c>
      <c r="B17" s="47" t="s">
        <v>172</v>
      </c>
      <c r="C17" s="47" t="s">
        <v>173</v>
      </c>
      <c r="D17" s="48" t="n">
        <v>46280</v>
      </c>
      <c r="E17" s="49" t="n">
        <f aca="false">YEAR(D17)</f>
        <v>2026</v>
      </c>
      <c r="F17" s="50" t="str">
        <f aca="false">TEXT(D17,"mmm")</f>
        <v>Sep</v>
      </c>
      <c r="G17" s="47" t="s">
        <v>174</v>
      </c>
      <c r="H17" s="47"/>
      <c r="I17" s="47"/>
      <c r="J17" s="47" t="s">
        <v>175</v>
      </c>
      <c r="K17" s="47"/>
      <c r="L17" s="47"/>
      <c r="M17" s="47" t="n">
        <v>1</v>
      </c>
      <c r="N17" s="47"/>
      <c r="O17" s="51" t="n">
        <v>30000</v>
      </c>
      <c r="P17" s="51" t="n">
        <v>0</v>
      </c>
      <c r="Q17" s="52" t="n">
        <f aca="false">M17*O17-P17</f>
        <v>30000</v>
      </c>
      <c r="R17" s="53" t="n">
        <v>0</v>
      </c>
      <c r="S17" s="47" t="s">
        <v>43</v>
      </c>
      <c r="T17" s="52" t="n">
        <f aca="false">IF(S17="IGST",ROUND(Q17*R17,2),0)</f>
        <v>0</v>
      </c>
      <c r="U17" s="52" t="n">
        <f aca="false">IF(S17="CGST+SGST",ROUND(Q17*R17/2,2),0)</f>
        <v>0</v>
      </c>
      <c r="V17" s="52" t="n">
        <f aca="false">U17</f>
        <v>0</v>
      </c>
      <c r="W17" s="51" t="n">
        <v>0</v>
      </c>
      <c r="X17" s="52" t="n">
        <f aca="false">Q17+T17+U17+V17+W17</f>
        <v>30000</v>
      </c>
      <c r="Y17" s="52" t="n">
        <f aca="false">ROUND(Q17*AT17,0)</f>
        <v>0</v>
      </c>
      <c r="Z17" s="52" t="n">
        <f aca="false">X17-Y17</f>
        <v>30000</v>
      </c>
      <c r="AA17" s="47"/>
      <c r="AB17" s="47"/>
      <c r="AC17" s="47"/>
      <c r="AD17" s="47"/>
      <c r="AE17" s="47" t="s">
        <v>176</v>
      </c>
      <c r="AF17" s="47" t="s">
        <v>177</v>
      </c>
      <c r="AG17" s="47"/>
      <c r="AH17" s="48"/>
      <c r="AI17" s="47"/>
      <c r="AJ17" s="47"/>
      <c r="AK17" s="47"/>
      <c r="AL17" s="47"/>
      <c r="AM17" s="47"/>
      <c r="AN17" s="47"/>
      <c r="AO17" s="47"/>
      <c r="AP17" s="47"/>
      <c r="AQ17" s="47"/>
      <c r="AR17" s="47" t="s">
        <v>178</v>
      </c>
      <c r="AS17" s="47" t="s">
        <v>179</v>
      </c>
      <c r="AT17" s="54" t="n">
        <v>0</v>
      </c>
    </row>
    <row r="18" customFormat="false" ht="14.25" hidden="false" customHeight="true" outlineLevel="0" collapsed="false">
      <c r="A18" s="47" t="n">
        <v>14</v>
      </c>
      <c r="B18" s="47" t="s">
        <v>180</v>
      </c>
      <c r="C18" s="47" t="s">
        <v>181</v>
      </c>
      <c r="D18" s="48" t="n">
        <v>46288</v>
      </c>
      <c r="E18" s="49" t="n">
        <f aca="false">YEAR(D18)</f>
        <v>2026</v>
      </c>
      <c r="F18" s="50" t="str">
        <f aca="false">TEXT(D18,"mmm")</f>
        <v>Sep</v>
      </c>
      <c r="G18" s="47" t="s">
        <v>182</v>
      </c>
      <c r="H18" s="47" t="s">
        <v>183</v>
      </c>
      <c r="I18" s="47"/>
      <c r="J18" s="47" t="s">
        <v>184</v>
      </c>
      <c r="K18" s="47" t="s">
        <v>185</v>
      </c>
      <c r="L18" s="47"/>
      <c r="M18" s="47" t="n">
        <v>1</v>
      </c>
      <c r="N18" s="47" t="s">
        <v>171</v>
      </c>
      <c r="O18" s="51" t="n">
        <v>2847.46</v>
      </c>
      <c r="P18" s="51" t="n">
        <v>0</v>
      </c>
      <c r="Q18" s="52" t="n">
        <f aca="false">M18*O18-P18</f>
        <v>2847.46</v>
      </c>
      <c r="R18" s="53" t="n">
        <v>0.18</v>
      </c>
      <c r="S18" s="47" t="s">
        <v>39</v>
      </c>
      <c r="T18" s="52" t="n">
        <f aca="false">IF(S18="IGST",ROUND(Q18*R18,2),0)</f>
        <v>0</v>
      </c>
      <c r="U18" s="52" t="n">
        <f aca="false">IF(S18="CGST+SGST",ROUND(Q18*R18/2,2),0)</f>
        <v>256.27</v>
      </c>
      <c r="V18" s="52" t="n">
        <f aca="false">U18</f>
        <v>256.27</v>
      </c>
      <c r="W18" s="51" t="n">
        <v>0</v>
      </c>
      <c r="X18" s="52" t="n">
        <f aca="false">Q18+T18+U18+V18+W18</f>
        <v>3360</v>
      </c>
      <c r="Y18" s="52" t="n">
        <f aca="false">ROUND(Q18*AT18,0)</f>
        <v>0</v>
      </c>
      <c r="Z18" s="52" t="n">
        <f aca="false">X18-Y18</f>
        <v>3360</v>
      </c>
      <c r="AA18" s="47"/>
      <c r="AB18" s="47"/>
      <c r="AC18" s="47"/>
      <c r="AD18" s="47" t="s">
        <v>137</v>
      </c>
      <c r="AE18" s="47" t="s">
        <v>186</v>
      </c>
      <c r="AF18" s="47" t="s">
        <v>137</v>
      </c>
      <c r="AG18" s="47"/>
      <c r="AH18" s="48"/>
      <c r="AI18" s="47"/>
      <c r="AJ18" s="47" t="s">
        <v>187</v>
      </c>
      <c r="AK18" s="47"/>
      <c r="AL18" s="47"/>
      <c r="AM18" s="47"/>
      <c r="AN18" s="47"/>
      <c r="AO18" s="47"/>
      <c r="AP18" s="47"/>
      <c r="AQ18" s="47"/>
      <c r="AR18" s="47" t="s">
        <v>188</v>
      </c>
      <c r="AS18" s="47" t="s">
        <v>189</v>
      </c>
      <c r="AT18" s="54" t="n">
        <v>0</v>
      </c>
    </row>
    <row r="19" customFormat="false" ht="14.25" hidden="false" customHeight="true" outlineLevel="0" collapsed="false">
      <c r="A19" s="47" t="n">
        <v>15</v>
      </c>
      <c r="B19" s="47" t="s">
        <v>190</v>
      </c>
      <c r="C19" s="47" t="s">
        <v>191</v>
      </c>
      <c r="D19" s="48" t="n">
        <v>46266</v>
      </c>
      <c r="E19" s="49" t="n">
        <f aca="false">YEAR(D19)</f>
        <v>2026</v>
      </c>
      <c r="F19" s="50" t="str">
        <f aca="false">TEXT(D19,"mmm")</f>
        <v>Sep</v>
      </c>
      <c r="G19" s="47" t="s">
        <v>192</v>
      </c>
      <c r="H19" s="47" t="s">
        <v>193</v>
      </c>
      <c r="I19" s="47"/>
      <c r="J19" s="47" t="s">
        <v>194</v>
      </c>
      <c r="K19" s="47" t="s">
        <v>195</v>
      </c>
      <c r="L19" s="47"/>
      <c r="M19" s="47" t="n">
        <v>2354</v>
      </c>
      <c r="N19" s="47" t="s">
        <v>196</v>
      </c>
      <c r="O19" s="51" t="n">
        <v>25</v>
      </c>
      <c r="P19" s="51" t="n">
        <v>0</v>
      </c>
      <c r="Q19" s="52" t="n">
        <f aca="false">M19*O19-P19</f>
        <v>58850</v>
      </c>
      <c r="R19" s="53" t="n">
        <v>0.18</v>
      </c>
      <c r="S19" s="47" t="s">
        <v>39</v>
      </c>
      <c r="T19" s="52" t="n">
        <f aca="false">IF(S19="IGST",ROUND(Q19*R19,2),0)</f>
        <v>0</v>
      </c>
      <c r="U19" s="52" t="n">
        <f aca="false">IF(S19="CGST+SGST",ROUND(Q19*R19/2,2),0)</f>
        <v>5296.5</v>
      </c>
      <c r="V19" s="52" t="n">
        <f aca="false">U19</f>
        <v>5296.5</v>
      </c>
      <c r="W19" s="51" t="n">
        <v>0</v>
      </c>
      <c r="X19" s="52" t="n">
        <f aca="false">Q19+T19+U19+V19+W19</f>
        <v>69443</v>
      </c>
      <c r="Y19" s="52" t="n">
        <f aca="false">ROUND(Q19*AT19,0)</f>
        <v>1177</v>
      </c>
      <c r="Z19" s="52" t="n">
        <f aca="false">X19-Y19</f>
        <v>68266</v>
      </c>
      <c r="AA19" s="47"/>
      <c r="AB19" s="47"/>
      <c r="AC19" s="47"/>
      <c r="AD19" s="47" t="s">
        <v>197</v>
      </c>
      <c r="AE19" s="47" t="s">
        <v>198</v>
      </c>
      <c r="AF19" s="47" t="s">
        <v>197</v>
      </c>
      <c r="AG19" s="47"/>
      <c r="AH19" s="48"/>
      <c r="AI19" s="47"/>
      <c r="AJ19" s="47"/>
      <c r="AK19" s="47" t="s">
        <v>199</v>
      </c>
      <c r="AL19" s="47" t="s">
        <v>200</v>
      </c>
      <c r="AM19" s="47" t="s">
        <v>201</v>
      </c>
      <c r="AN19" s="47"/>
      <c r="AO19" s="47"/>
      <c r="AP19" s="47"/>
      <c r="AQ19" s="47"/>
      <c r="AR19" s="47" t="s">
        <v>202</v>
      </c>
      <c r="AS19" s="47" t="s">
        <v>203</v>
      </c>
      <c r="AT19" s="54" t="n">
        <v>0.02</v>
      </c>
    </row>
    <row r="20" customFormat="false" ht="14.25" hidden="false" customHeight="true" outlineLevel="0" collapsed="false">
      <c r="A20" s="47" t="n">
        <v>16</v>
      </c>
      <c r="B20" s="47" t="s">
        <v>190</v>
      </c>
      <c r="C20" s="47" t="s">
        <v>191</v>
      </c>
      <c r="D20" s="48" t="n">
        <v>46266</v>
      </c>
      <c r="E20" s="49" t="n">
        <f aca="false">YEAR(D20)</f>
        <v>2026</v>
      </c>
      <c r="F20" s="50" t="str">
        <f aca="false">TEXT(D20,"mmm")</f>
        <v>Sep</v>
      </c>
      <c r="G20" s="47" t="s">
        <v>192</v>
      </c>
      <c r="H20" s="47" t="s">
        <v>193</v>
      </c>
      <c r="I20" s="47"/>
      <c r="J20" s="47" t="s">
        <v>204</v>
      </c>
      <c r="K20" s="47" t="s">
        <v>205</v>
      </c>
      <c r="L20" s="47"/>
      <c r="M20" s="47" t="n">
        <v>2354</v>
      </c>
      <c r="N20" s="47" t="s">
        <v>196</v>
      </c>
      <c r="O20" s="51" t="n">
        <v>10</v>
      </c>
      <c r="P20" s="51" t="n">
        <v>0</v>
      </c>
      <c r="Q20" s="52" t="n">
        <f aca="false">M20*O20-P20</f>
        <v>23540</v>
      </c>
      <c r="R20" s="53" t="n">
        <v>0.18</v>
      </c>
      <c r="S20" s="47" t="s">
        <v>39</v>
      </c>
      <c r="T20" s="52" t="n">
        <f aca="false">IF(S20="IGST",ROUND(Q20*R20,2),0)</f>
        <v>0</v>
      </c>
      <c r="U20" s="52" t="n">
        <f aca="false">IF(S20="CGST+SGST",ROUND(Q20*R20/2,2),0)</f>
        <v>2118.6</v>
      </c>
      <c r="V20" s="52" t="n">
        <f aca="false">U20</f>
        <v>2118.6</v>
      </c>
      <c r="W20" s="51" t="n">
        <v>0</v>
      </c>
      <c r="X20" s="52" t="n">
        <f aca="false">Q20+T20+U20+V20+W20</f>
        <v>27777.2</v>
      </c>
      <c r="Y20" s="52" t="n">
        <f aca="false">ROUND(Q20*AT20,0)</f>
        <v>471</v>
      </c>
      <c r="Z20" s="52" t="n">
        <f aca="false">X20-Y20</f>
        <v>27306.2</v>
      </c>
      <c r="AA20" s="47"/>
      <c r="AB20" s="47"/>
      <c r="AC20" s="47"/>
      <c r="AD20" s="47" t="s">
        <v>197</v>
      </c>
      <c r="AE20" s="47" t="s">
        <v>198</v>
      </c>
      <c r="AF20" s="47" t="s">
        <v>197</v>
      </c>
      <c r="AG20" s="47"/>
      <c r="AH20" s="48"/>
      <c r="AI20" s="47"/>
      <c r="AJ20" s="47"/>
      <c r="AK20" s="47" t="s">
        <v>199</v>
      </c>
      <c r="AL20" s="47" t="s">
        <v>200</v>
      </c>
      <c r="AM20" s="47" t="s">
        <v>201</v>
      </c>
      <c r="AN20" s="47"/>
      <c r="AO20" s="47"/>
      <c r="AP20" s="47"/>
      <c r="AQ20" s="47"/>
      <c r="AR20" s="47" t="s">
        <v>202</v>
      </c>
      <c r="AS20" s="47" t="s">
        <v>203</v>
      </c>
      <c r="AT20" s="54" t="n">
        <v>0.02</v>
      </c>
    </row>
    <row r="21" customFormat="false" ht="14.25" hidden="false" customHeight="true" outlineLevel="0" collapsed="false">
      <c r="A21" s="47" t="n">
        <v>17</v>
      </c>
      <c r="B21" s="47" t="s">
        <v>206</v>
      </c>
      <c r="C21" s="47" t="s">
        <v>207</v>
      </c>
      <c r="D21" s="48" t="n">
        <v>46267</v>
      </c>
      <c r="E21" s="49" t="n">
        <f aca="false">YEAR(D21)</f>
        <v>2026</v>
      </c>
      <c r="F21" s="50" t="str">
        <f aca="false">TEXT(D21,"mmm")</f>
        <v>Sep</v>
      </c>
      <c r="G21" s="47" t="s">
        <v>192</v>
      </c>
      <c r="H21" s="47" t="s">
        <v>193</v>
      </c>
      <c r="I21" s="47"/>
      <c r="J21" s="47" t="s">
        <v>208</v>
      </c>
      <c r="K21" s="47" t="s">
        <v>209</v>
      </c>
      <c r="L21" s="47"/>
      <c r="M21" s="47" t="n">
        <v>1</v>
      </c>
      <c r="N21" s="47" t="s">
        <v>171</v>
      </c>
      <c r="O21" s="51" t="n">
        <v>19282</v>
      </c>
      <c r="P21" s="51" t="n">
        <v>0</v>
      </c>
      <c r="Q21" s="52" t="n">
        <f aca="false">M21*O21-P21</f>
        <v>19282</v>
      </c>
      <c r="R21" s="53" t="n">
        <v>0.18</v>
      </c>
      <c r="S21" s="47" t="s">
        <v>39</v>
      </c>
      <c r="T21" s="52" t="n">
        <f aca="false">IF(S21="IGST",ROUND(Q21*R21,2),0)</f>
        <v>0</v>
      </c>
      <c r="U21" s="52" t="n">
        <f aca="false">IF(S21="CGST+SGST",ROUND(Q21*R21/2,2),0)</f>
        <v>1735.38</v>
      </c>
      <c r="V21" s="52" t="n">
        <f aca="false">U21</f>
        <v>1735.38</v>
      </c>
      <c r="W21" s="51" t="n">
        <v>0</v>
      </c>
      <c r="X21" s="52" t="n">
        <f aca="false">Q21+T21+U21+V21+W21</f>
        <v>22752.76</v>
      </c>
      <c r="Y21" s="52" t="n">
        <f aca="false">ROUND(Q21*AT21,0)</f>
        <v>386</v>
      </c>
      <c r="Z21" s="52" t="n">
        <f aca="false">X21-Y21</f>
        <v>22366.76</v>
      </c>
      <c r="AA21" s="47"/>
      <c r="AB21" s="47"/>
      <c r="AC21" s="47"/>
      <c r="AD21" s="47" t="s">
        <v>197</v>
      </c>
      <c r="AE21" s="47" t="s">
        <v>198</v>
      </c>
      <c r="AF21" s="47" t="s">
        <v>197</v>
      </c>
      <c r="AG21" s="47"/>
      <c r="AH21" s="48"/>
      <c r="AI21" s="47"/>
      <c r="AJ21" s="47"/>
      <c r="AK21" s="47" t="s">
        <v>210</v>
      </c>
      <c r="AL21" s="47" t="s">
        <v>211</v>
      </c>
      <c r="AM21" s="47" t="s">
        <v>212</v>
      </c>
      <c r="AN21" s="47"/>
      <c r="AO21" s="47"/>
      <c r="AP21" s="47"/>
      <c r="AQ21" s="47"/>
      <c r="AR21" s="47" t="s">
        <v>213</v>
      </c>
      <c r="AS21" s="47" t="s">
        <v>214</v>
      </c>
      <c r="AT21" s="54" t="n">
        <v>0.02</v>
      </c>
    </row>
    <row r="22" customFormat="false" ht="14.25" hidden="false" customHeight="true" outlineLevel="0" collapsed="false">
      <c r="A22" s="47" t="n">
        <v>18</v>
      </c>
      <c r="B22" s="47" t="s">
        <v>206</v>
      </c>
      <c r="C22" s="47" t="s">
        <v>207</v>
      </c>
      <c r="D22" s="48" t="n">
        <v>46267</v>
      </c>
      <c r="E22" s="49" t="n">
        <f aca="false">YEAR(D22)</f>
        <v>2026</v>
      </c>
      <c r="F22" s="50" t="str">
        <f aca="false">TEXT(D22,"mmm")</f>
        <v>Sep</v>
      </c>
      <c r="G22" s="47" t="s">
        <v>192</v>
      </c>
      <c r="H22" s="47" t="s">
        <v>193</v>
      </c>
      <c r="I22" s="47"/>
      <c r="J22" s="47" t="s">
        <v>215</v>
      </c>
      <c r="K22" s="47" t="s">
        <v>209</v>
      </c>
      <c r="L22" s="47"/>
      <c r="M22" s="47" t="n">
        <v>1</v>
      </c>
      <c r="N22" s="47" t="s">
        <v>171</v>
      </c>
      <c r="O22" s="51" t="n">
        <v>7204</v>
      </c>
      <c r="P22" s="51" t="n">
        <v>0</v>
      </c>
      <c r="Q22" s="52" t="n">
        <f aca="false">M22*O22-P22</f>
        <v>7204</v>
      </c>
      <c r="R22" s="53" t="n">
        <v>0.18</v>
      </c>
      <c r="S22" s="47" t="s">
        <v>39</v>
      </c>
      <c r="T22" s="52" t="n">
        <f aca="false">IF(S22="IGST",ROUND(Q22*R22,2),0)</f>
        <v>0</v>
      </c>
      <c r="U22" s="52" t="n">
        <f aca="false">IF(S22="CGST+SGST",ROUND(Q22*R22/2,2),0)</f>
        <v>648.36</v>
      </c>
      <c r="V22" s="52" t="n">
        <f aca="false">U22</f>
        <v>648.36</v>
      </c>
      <c r="W22" s="51" t="n">
        <v>0</v>
      </c>
      <c r="X22" s="52" t="n">
        <f aca="false">Q22+T22+U22+V22+W22</f>
        <v>8500.72</v>
      </c>
      <c r="Y22" s="52" t="n">
        <f aca="false">ROUND(Q22*AT22,0)</f>
        <v>144</v>
      </c>
      <c r="Z22" s="52" t="n">
        <f aca="false">X22-Y22</f>
        <v>8356.72</v>
      </c>
      <c r="AA22" s="47"/>
      <c r="AB22" s="47"/>
      <c r="AC22" s="47"/>
      <c r="AD22" s="47" t="s">
        <v>197</v>
      </c>
      <c r="AE22" s="47" t="s">
        <v>198</v>
      </c>
      <c r="AF22" s="47" t="s">
        <v>197</v>
      </c>
      <c r="AG22" s="47"/>
      <c r="AH22" s="48"/>
      <c r="AI22" s="47"/>
      <c r="AJ22" s="47"/>
      <c r="AK22" s="47" t="s">
        <v>210</v>
      </c>
      <c r="AL22" s="47" t="s">
        <v>211</v>
      </c>
      <c r="AM22" s="47" t="s">
        <v>212</v>
      </c>
      <c r="AN22" s="47"/>
      <c r="AO22" s="47"/>
      <c r="AP22" s="47"/>
      <c r="AQ22" s="47"/>
      <c r="AR22" s="47" t="s">
        <v>213</v>
      </c>
      <c r="AS22" s="47" t="s">
        <v>214</v>
      </c>
      <c r="AT22" s="54" t="n">
        <v>0.02</v>
      </c>
    </row>
    <row r="23" customFormat="false" ht="14.25" hidden="false" customHeight="true" outlineLevel="0" collapsed="false">
      <c r="A23" s="47" t="n">
        <v>19</v>
      </c>
      <c r="B23" s="47" t="s">
        <v>206</v>
      </c>
      <c r="C23" s="47" t="s">
        <v>207</v>
      </c>
      <c r="D23" s="48" t="n">
        <v>46267</v>
      </c>
      <c r="E23" s="49" t="n">
        <f aca="false">YEAR(D23)</f>
        <v>2026</v>
      </c>
      <c r="F23" s="50" t="str">
        <f aca="false">TEXT(D23,"mmm")</f>
        <v>Sep</v>
      </c>
      <c r="G23" s="47" t="s">
        <v>192</v>
      </c>
      <c r="H23" s="47" t="s">
        <v>193</v>
      </c>
      <c r="I23" s="47"/>
      <c r="J23" s="47" t="s">
        <v>216</v>
      </c>
      <c r="K23" s="47" t="s">
        <v>209</v>
      </c>
      <c r="L23" s="47"/>
      <c r="M23" s="47" t="n">
        <v>1</v>
      </c>
      <c r="N23" s="47" t="s">
        <v>171</v>
      </c>
      <c r="O23" s="51" t="n">
        <v>312</v>
      </c>
      <c r="P23" s="51" t="n">
        <v>0</v>
      </c>
      <c r="Q23" s="52" t="n">
        <f aca="false">M23*O23-P23</f>
        <v>312</v>
      </c>
      <c r="R23" s="53" t="n">
        <v>0.18</v>
      </c>
      <c r="S23" s="47" t="s">
        <v>39</v>
      </c>
      <c r="T23" s="52" t="n">
        <f aca="false">IF(S23="IGST",ROUND(Q23*R23,2),0)</f>
        <v>0</v>
      </c>
      <c r="U23" s="52" t="n">
        <f aca="false">IF(S23="CGST+SGST",ROUND(Q23*R23/2,2),0)</f>
        <v>28.08</v>
      </c>
      <c r="V23" s="52" t="n">
        <f aca="false">U23</f>
        <v>28.08</v>
      </c>
      <c r="W23" s="51" t="n">
        <v>0</v>
      </c>
      <c r="X23" s="52" t="n">
        <f aca="false">Q23+T23+U23+V23+W23</f>
        <v>368.16</v>
      </c>
      <c r="Y23" s="52" t="n">
        <f aca="false">ROUND(Q23*AT23,0)</f>
        <v>6</v>
      </c>
      <c r="Z23" s="52" t="n">
        <f aca="false">X23-Y23</f>
        <v>362.16</v>
      </c>
      <c r="AA23" s="47"/>
      <c r="AB23" s="47"/>
      <c r="AC23" s="47"/>
      <c r="AD23" s="47" t="s">
        <v>197</v>
      </c>
      <c r="AE23" s="47" t="s">
        <v>198</v>
      </c>
      <c r="AF23" s="47" t="s">
        <v>197</v>
      </c>
      <c r="AG23" s="47"/>
      <c r="AH23" s="48"/>
      <c r="AI23" s="47"/>
      <c r="AJ23" s="47"/>
      <c r="AK23" s="47" t="s">
        <v>210</v>
      </c>
      <c r="AL23" s="47" t="s">
        <v>211</v>
      </c>
      <c r="AM23" s="47" t="s">
        <v>212</v>
      </c>
      <c r="AN23" s="47"/>
      <c r="AO23" s="47"/>
      <c r="AP23" s="47"/>
      <c r="AQ23" s="47"/>
      <c r="AR23" s="47" t="s">
        <v>213</v>
      </c>
      <c r="AS23" s="47" t="s">
        <v>214</v>
      </c>
      <c r="AT23" s="54" t="n">
        <v>0.02</v>
      </c>
    </row>
    <row r="24" customFormat="false" ht="14.25" hidden="false" customHeight="true" outlineLevel="0" collapsed="false">
      <c r="A24" s="47" t="n">
        <v>20</v>
      </c>
      <c r="B24" s="47" t="s">
        <v>206</v>
      </c>
      <c r="C24" s="47" t="s">
        <v>207</v>
      </c>
      <c r="D24" s="48" t="n">
        <v>46267</v>
      </c>
      <c r="E24" s="49" t="n">
        <f aca="false">YEAR(D24)</f>
        <v>2026</v>
      </c>
      <c r="F24" s="50" t="str">
        <f aca="false">TEXT(D24,"mmm")</f>
        <v>Sep</v>
      </c>
      <c r="G24" s="47" t="s">
        <v>192</v>
      </c>
      <c r="H24" s="47" t="s">
        <v>193</v>
      </c>
      <c r="I24" s="47"/>
      <c r="J24" s="47" t="s">
        <v>217</v>
      </c>
      <c r="K24" s="47" t="s">
        <v>209</v>
      </c>
      <c r="L24" s="47"/>
      <c r="M24" s="47" t="n">
        <v>1</v>
      </c>
      <c r="N24" s="47" t="s">
        <v>171</v>
      </c>
      <c r="O24" s="51" t="n">
        <v>1893</v>
      </c>
      <c r="P24" s="51" t="n">
        <v>0</v>
      </c>
      <c r="Q24" s="52" t="n">
        <f aca="false">M24*O24-P24</f>
        <v>1893</v>
      </c>
      <c r="R24" s="53" t="n">
        <v>0.18</v>
      </c>
      <c r="S24" s="47" t="s">
        <v>39</v>
      </c>
      <c r="T24" s="52" t="n">
        <f aca="false">IF(S24="IGST",ROUND(Q24*R24,2),0)</f>
        <v>0</v>
      </c>
      <c r="U24" s="52" t="n">
        <f aca="false">IF(S24="CGST+SGST",ROUND(Q24*R24/2,2),0)</f>
        <v>170.37</v>
      </c>
      <c r="V24" s="52" t="n">
        <f aca="false">U24</f>
        <v>170.37</v>
      </c>
      <c r="W24" s="51" t="n">
        <v>0</v>
      </c>
      <c r="X24" s="52" t="n">
        <f aca="false">Q24+T24+U24+V24+W24</f>
        <v>2233.74</v>
      </c>
      <c r="Y24" s="52" t="n">
        <f aca="false">ROUND(Q24*AT24,0)</f>
        <v>38</v>
      </c>
      <c r="Z24" s="52" t="n">
        <f aca="false">X24-Y24</f>
        <v>2195.74</v>
      </c>
      <c r="AA24" s="47"/>
      <c r="AB24" s="47"/>
      <c r="AC24" s="47"/>
      <c r="AD24" s="47" t="s">
        <v>197</v>
      </c>
      <c r="AE24" s="47" t="s">
        <v>198</v>
      </c>
      <c r="AF24" s="47" t="s">
        <v>197</v>
      </c>
      <c r="AG24" s="47"/>
      <c r="AH24" s="48"/>
      <c r="AI24" s="47"/>
      <c r="AJ24" s="47"/>
      <c r="AK24" s="47" t="s">
        <v>210</v>
      </c>
      <c r="AL24" s="47" t="s">
        <v>211</v>
      </c>
      <c r="AM24" s="47" t="s">
        <v>212</v>
      </c>
      <c r="AN24" s="47"/>
      <c r="AO24" s="47"/>
      <c r="AP24" s="47"/>
      <c r="AQ24" s="47"/>
      <c r="AR24" s="47" t="s">
        <v>213</v>
      </c>
      <c r="AS24" s="47" t="s">
        <v>214</v>
      </c>
      <c r="AT24" s="54" t="n">
        <v>0.02</v>
      </c>
    </row>
    <row r="25" customFormat="false" ht="14.25" hidden="false" customHeight="true" outlineLevel="0" collapsed="false">
      <c r="A25" s="47" t="n">
        <v>21</v>
      </c>
      <c r="B25" s="47" t="s">
        <v>206</v>
      </c>
      <c r="C25" s="47" t="s">
        <v>207</v>
      </c>
      <c r="D25" s="48" t="n">
        <v>46267</v>
      </c>
      <c r="E25" s="49" t="n">
        <f aca="false">YEAR(D25)</f>
        <v>2026</v>
      </c>
      <c r="F25" s="50" t="str">
        <f aca="false">TEXT(D25,"mmm")</f>
        <v>Sep</v>
      </c>
      <c r="G25" s="47" t="s">
        <v>192</v>
      </c>
      <c r="H25" s="47" t="s">
        <v>193</v>
      </c>
      <c r="I25" s="47"/>
      <c r="J25" s="47" t="s">
        <v>218</v>
      </c>
      <c r="K25" s="47" t="s">
        <v>209</v>
      </c>
      <c r="L25" s="47"/>
      <c r="M25" s="47" t="n">
        <v>1</v>
      </c>
      <c r="N25" s="47" t="s">
        <v>171</v>
      </c>
      <c r="O25" s="51" t="n">
        <v>450</v>
      </c>
      <c r="P25" s="51" t="n">
        <v>0</v>
      </c>
      <c r="Q25" s="52" t="n">
        <f aca="false">M25*O25-P25</f>
        <v>450</v>
      </c>
      <c r="R25" s="53" t="n">
        <v>0.18</v>
      </c>
      <c r="S25" s="47" t="s">
        <v>39</v>
      </c>
      <c r="T25" s="52" t="n">
        <f aca="false">IF(S25="IGST",ROUND(Q25*R25,2),0)</f>
        <v>0</v>
      </c>
      <c r="U25" s="52" t="n">
        <f aca="false">IF(S25="CGST+SGST",ROUND(Q25*R25/2,2),0)</f>
        <v>40.5</v>
      </c>
      <c r="V25" s="52" t="n">
        <f aca="false">U25</f>
        <v>40.5</v>
      </c>
      <c r="W25" s="51" t="n">
        <v>0</v>
      </c>
      <c r="X25" s="52" t="n">
        <f aca="false">Q25+T25+U25+V25+W25</f>
        <v>531</v>
      </c>
      <c r="Y25" s="52" t="n">
        <f aca="false">ROUND(Q25*AT25,0)</f>
        <v>9</v>
      </c>
      <c r="Z25" s="52" t="n">
        <f aca="false">X25-Y25</f>
        <v>522</v>
      </c>
      <c r="AA25" s="47"/>
      <c r="AB25" s="47"/>
      <c r="AC25" s="47"/>
      <c r="AD25" s="47" t="s">
        <v>197</v>
      </c>
      <c r="AE25" s="47" t="s">
        <v>198</v>
      </c>
      <c r="AF25" s="47" t="s">
        <v>197</v>
      </c>
      <c r="AG25" s="47"/>
      <c r="AH25" s="48"/>
      <c r="AI25" s="47"/>
      <c r="AJ25" s="47"/>
      <c r="AK25" s="47" t="s">
        <v>210</v>
      </c>
      <c r="AL25" s="47" t="s">
        <v>211</v>
      </c>
      <c r="AM25" s="47" t="s">
        <v>212</v>
      </c>
      <c r="AN25" s="47"/>
      <c r="AO25" s="47"/>
      <c r="AP25" s="47"/>
      <c r="AQ25" s="47"/>
      <c r="AR25" s="47" t="s">
        <v>213</v>
      </c>
      <c r="AS25" s="47" t="s">
        <v>214</v>
      </c>
      <c r="AT25" s="54" t="n">
        <v>0.02</v>
      </c>
    </row>
    <row r="26" customFormat="false" ht="14.25" hidden="false" customHeight="true" outlineLevel="0" collapsed="false">
      <c r="A26" s="47" t="n">
        <v>22</v>
      </c>
      <c r="B26" s="47" t="s">
        <v>219</v>
      </c>
      <c r="C26" s="47" t="s">
        <v>220</v>
      </c>
      <c r="D26" s="48" t="n">
        <v>46277</v>
      </c>
      <c r="E26" s="49" t="n">
        <f aca="false">YEAR(D26)</f>
        <v>2026</v>
      </c>
      <c r="F26" s="50" t="str">
        <f aca="false">TEXT(D26,"mmm")</f>
        <v>Sep</v>
      </c>
      <c r="G26" s="47" t="s">
        <v>192</v>
      </c>
      <c r="H26" s="47" t="s">
        <v>193</v>
      </c>
      <c r="I26" s="47"/>
      <c r="J26" s="47" t="s">
        <v>221</v>
      </c>
      <c r="K26" s="47" t="s">
        <v>222</v>
      </c>
      <c r="L26" s="47"/>
      <c r="M26" s="47" t="n">
        <v>1</v>
      </c>
      <c r="N26" s="47" t="s">
        <v>171</v>
      </c>
      <c r="O26" s="51" t="n">
        <v>100826</v>
      </c>
      <c r="P26" s="51" t="n">
        <v>0</v>
      </c>
      <c r="Q26" s="52" t="n">
        <f aca="false">M26*O26-P26</f>
        <v>100826</v>
      </c>
      <c r="R26" s="53" t="n">
        <v>0.18</v>
      </c>
      <c r="S26" s="47" t="s">
        <v>39</v>
      </c>
      <c r="T26" s="52" t="n">
        <f aca="false">IF(S26="IGST",ROUND(Q26*R26,2),0)</f>
        <v>0</v>
      </c>
      <c r="U26" s="52" t="n">
        <f aca="false">IF(S26="CGST+SGST",ROUND(Q26*R26/2,2),0)</f>
        <v>9074.34</v>
      </c>
      <c r="V26" s="52" t="n">
        <f aca="false">U26</f>
        <v>9074.34</v>
      </c>
      <c r="W26" s="51" t="n">
        <v>0</v>
      </c>
      <c r="X26" s="52" t="n">
        <f aca="false">Q26+T26+U26+V26+W26</f>
        <v>118974.68</v>
      </c>
      <c r="Y26" s="52" t="n">
        <f aca="false">ROUND(Q26*AT26,0)</f>
        <v>10083</v>
      </c>
      <c r="Z26" s="52" t="n">
        <f aca="false">X26-Y26</f>
        <v>108891.68</v>
      </c>
      <c r="AA26" s="47"/>
      <c r="AB26" s="47"/>
      <c r="AC26" s="47"/>
      <c r="AD26" s="47" t="s">
        <v>197</v>
      </c>
      <c r="AE26" s="47" t="s">
        <v>198</v>
      </c>
      <c r="AF26" s="47" t="s">
        <v>197</v>
      </c>
      <c r="AG26" s="47"/>
      <c r="AH26" s="48"/>
      <c r="AI26" s="47"/>
      <c r="AJ26" s="47"/>
      <c r="AK26" s="47" t="s">
        <v>223</v>
      </c>
      <c r="AL26" s="47" t="s">
        <v>224</v>
      </c>
      <c r="AM26" s="47" t="s">
        <v>225</v>
      </c>
      <c r="AN26" s="47"/>
      <c r="AO26" s="47"/>
      <c r="AP26" s="47"/>
      <c r="AQ26" s="47"/>
      <c r="AR26" s="47" t="s">
        <v>226</v>
      </c>
      <c r="AS26" s="47" t="s">
        <v>227</v>
      </c>
      <c r="AT26" s="54" t="n">
        <v>0.1</v>
      </c>
    </row>
    <row r="27" customFormat="false" ht="14.25" hidden="false" customHeight="true" outlineLevel="0" collapsed="false">
      <c r="A27" s="47" t="n">
        <v>23</v>
      </c>
      <c r="B27" s="47" t="s">
        <v>228</v>
      </c>
      <c r="C27" s="47" t="s">
        <v>229</v>
      </c>
      <c r="D27" s="48" t="n">
        <v>46134</v>
      </c>
      <c r="E27" s="49" t="n">
        <f aca="false">YEAR(D27)</f>
        <v>2026</v>
      </c>
      <c r="F27" s="50" t="str">
        <f aca="false">TEXT(D27,"mmm")</f>
        <v>Apr</v>
      </c>
      <c r="G27" s="47" t="s">
        <v>230</v>
      </c>
      <c r="H27" s="47"/>
      <c r="I27" s="47"/>
      <c r="J27" s="47" t="s">
        <v>231</v>
      </c>
      <c r="K27" s="47"/>
      <c r="L27" s="47"/>
      <c r="M27" s="47" t="n">
        <v>1</v>
      </c>
      <c r="N27" s="47" t="s">
        <v>232</v>
      </c>
      <c r="O27" s="51" t="n">
        <f aca="false">10*93.8351</f>
        <v>938.351</v>
      </c>
      <c r="P27" s="51" t="n">
        <v>0</v>
      </c>
      <c r="Q27" s="52" t="n">
        <f aca="false">M27*O27-P27</f>
        <v>938.351</v>
      </c>
      <c r="R27" s="53" t="n">
        <v>0</v>
      </c>
      <c r="S27" s="47" t="s">
        <v>41</v>
      </c>
      <c r="T27" s="52" t="n">
        <f aca="false">IF(S27="IGST",ROUND(Q27*R27,2),0)</f>
        <v>0</v>
      </c>
      <c r="U27" s="52" t="n">
        <f aca="false">IF(S27="CGST+SGST",ROUND(Q27*R27/2,2),0)</f>
        <v>0</v>
      </c>
      <c r="V27" s="52" t="n">
        <f aca="false">U27</f>
        <v>0</v>
      </c>
      <c r="W27" s="51" t="n">
        <v>0</v>
      </c>
      <c r="X27" s="52" t="n">
        <f aca="false">Q27+T27+U27+V27+W27</f>
        <v>938.351</v>
      </c>
      <c r="Y27" s="52" t="n">
        <f aca="false">ROUND(Q27*AT27,0)</f>
        <v>0</v>
      </c>
      <c r="Z27" s="52" t="n">
        <f aca="false">X27-Y27</f>
        <v>938.351</v>
      </c>
      <c r="AA27" s="47"/>
      <c r="AB27" s="47"/>
      <c r="AC27" s="47"/>
      <c r="AD27" s="47" t="s">
        <v>233</v>
      </c>
      <c r="AE27" s="47" t="s">
        <v>176</v>
      </c>
      <c r="AF27" s="47" t="s">
        <v>177</v>
      </c>
      <c r="AG27" s="47"/>
      <c r="AH27" s="48"/>
      <c r="AI27" s="47"/>
      <c r="AJ27" s="47" t="s">
        <v>234</v>
      </c>
      <c r="AK27" s="47"/>
      <c r="AL27" s="47"/>
      <c r="AM27" s="47"/>
      <c r="AN27" s="47"/>
      <c r="AO27" s="47"/>
      <c r="AP27" s="47"/>
      <c r="AQ27" s="47"/>
      <c r="AR27" s="47" t="s">
        <v>235</v>
      </c>
      <c r="AS27" s="47" t="s">
        <v>236</v>
      </c>
      <c r="AT27" s="54" t="n">
        <v>0</v>
      </c>
    </row>
    <row r="28" customFormat="false" ht="14.25" hidden="false" customHeight="true" outlineLevel="0" collapsed="false">
      <c r="A28" s="47" t="n">
        <v>24</v>
      </c>
      <c r="B28" s="47" t="s">
        <v>237</v>
      </c>
      <c r="C28" s="47" t="s">
        <v>238</v>
      </c>
      <c r="D28" s="48" t="n">
        <v>46134</v>
      </c>
      <c r="E28" s="49" t="n">
        <f aca="false">YEAR(D28)</f>
        <v>2026</v>
      </c>
      <c r="F28" s="50" t="str">
        <f aca="false">TEXT(D28,"mmm")</f>
        <v>Apr</v>
      </c>
      <c r="G28" s="47" t="s">
        <v>230</v>
      </c>
      <c r="H28" s="47"/>
      <c r="I28" s="47"/>
      <c r="J28" s="47" t="s">
        <v>239</v>
      </c>
      <c r="K28" s="47"/>
      <c r="L28" s="47"/>
      <c r="M28" s="47" t="n">
        <v>1</v>
      </c>
      <c r="N28" s="47" t="s">
        <v>232</v>
      </c>
      <c r="O28" s="51" t="n">
        <f aca="false">90*93.8351</f>
        <v>8445.159</v>
      </c>
      <c r="P28" s="51" t="n">
        <v>0</v>
      </c>
      <c r="Q28" s="52" t="n">
        <f aca="false">M28*O28-P28</f>
        <v>8445.159</v>
      </c>
      <c r="R28" s="53" t="n">
        <v>0</v>
      </c>
      <c r="S28" s="47" t="s">
        <v>41</v>
      </c>
      <c r="T28" s="52" t="n">
        <f aca="false">IF(S28="IGST",ROUND(Q28*R28,2),0)</f>
        <v>0</v>
      </c>
      <c r="U28" s="52" t="n">
        <f aca="false">IF(S28="CGST+SGST",ROUND(Q28*R28/2,2),0)</f>
        <v>0</v>
      </c>
      <c r="V28" s="52" t="n">
        <f aca="false">U28</f>
        <v>0</v>
      </c>
      <c r="W28" s="51" t="n">
        <v>0</v>
      </c>
      <c r="X28" s="52" t="n">
        <f aca="false">Q28+T28+U28+V28+W28</f>
        <v>8445.159</v>
      </c>
      <c r="Y28" s="52" t="n">
        <f aca="false">ROUND(Q28*AT28,0)</f>
        <v>0</v>
      </c>
      <c r="Z28" s="52" t="n">
        <f aca="false">X28-Y28</f>
        <v>8445.159</v>
      </c>
      <c r="AA28" s="47"/>
      <c r="AB28" s="47"/>
      <c r="AC28" s="47"/>
      <c r="AD28" s="47" t="s">
        <v>233</v>
      </c>
      <c r="AE28" s="47" t="s">
        <v>176</v>
      </c>
      <c r="AF28" s="47" t="s">
        <v>177</v>
      </c>
      <c r="AG28" s="47"/>
      <c r="AH28" s="48"/>
      <c r="AI28" s="47"/>
      <c r="AJ28" s="47" t="s">
        <v>234</v>
      </c>
      <c r="AK28" s="47"/>
      <c r="AL28" s="47"/>
      <c r="AM28" s="47"/>
      <c r="AN28" s="47"/>
      <c r="AO28" s="47"/>
      <c r="AP28" s="47"/>
      <c r="AQ28" s="47"/>
      <c r="AR28" s="47" t="s">
        <v>235</v>
      </c>
      <c r="AS28" s="47" t="s">
        <v>236</v>
      </c>
      <c r="AT28" s="54" t="n">
        <v>0</v>
      </c>
    </row>
    <row r="29" customFormat="false" ht="14.25" hidden="false" customHeight="true" outlineLevel="0" collapsed="false">
      <c r="A29" s="47" t="n">
        <v>25</v>
      </c>
      <c r="B29" s="47" t="s">
        <v>240</v>
      </c>
      <c r="C29" s="47" t="s">
        <v>241</v>
      </c>
      <c r="D29" s="48" t="n">
        <v>46162</v>
      </c>
      <c r="E29" s="49" t="n">
        <f aca="false">YEAR(D29)</f>
        <v>2026</v>
      </c>
      <c r="F29" s="50" t="str">
        <f aca="false">TEXT(D29,"mmm")</f>
        <v>May</v>
      </c>
      <c r="G29" s="47" t="s">
        <v>230</v>
      </c>
      <c r="H29" s="47"/>
      <c r="I29" s="47"/>
      <c r="J29" s="47" t="s">
        <v>242</v>
      </c>
      <c r="K29" s="47"/>
      <c r="L29" s="47"/>
      <c r="M29" s="47" t="n">
        <v>1</v>
      </c>
      <c r="N29" s="47" t="s">
        <v>232</v>
      </c>
      <c r="O29" s="51" t="n">
        <f aca="false">200*96.8441</f>
        <v>19368.82</v>
      </c>
      <c r="P29" s="51" t="n">
        <v>0</v>
      </c>
      <c r="Q29" s="52" t="n">
        <f aca="false">M29*O29-P29</f>
        <v>19368.82</v>
      </c>
      <c r="R29" s="53" t="n">
        <v>0</v>
      </c>
      <c r="S29" s="47" t="s">
        <v>41</v>
      </c>
      <c r="T29" s="52" t="n">
        <f aca="false">IF(S29="IGST",ROUND(Q29*R29,2),0)</f>
        <v>0</v>
      </c>
      <c r="U29" s="52" t="n">
        <f aca="false">IF(S29="CGST+SGST",ROUND(Q29*R29/2,2),0)</f>
        <v>0</v>
      </c>
      <c r="V29" s="52" t="n">
        <f aca="false">U29</f>
        <v>0</v>
      </c>
      <c r="W29" s="51" t="n">
        <v>0</v>
      </c>
      <c r="X29" s="52" t="n">
        <f aca="false">Q29+T29+U29+V29+W29</f>
        <v>19368.82</v>
      </c>
      <c r="Y29" s="52" t="n">
        <f aca="false">ROUND(Q29*AT29,0)</f>
        <v>0</v>
      </c>
      <c r="Z29" s="52" t="n">
        <f aca="false">X29-Y29</f>
        <v>19368.82</v>
      </c>
      <c r="AA29" s="47"/>
      <c r="AB29" s="47"/>
      <c r="AC29" s="47"/>
      <c r="AD29" s="47" t="s">
        <v>233</v>
      </c>
      <c r="AE29" s="47" t="s">
        <v>176</v>
      </c>
      <c r="AF29" s="47" t="s">
        <v>177</v>
      </c>
      <c r="AG29" s="47"/>
      <c r="AH29" s="48"/>
      <c r="AI29" s="47"/>
      <c r="AJ29" s="47" t="s">
        <v>234</v>
      </c>
      <c r="AK29" s="47"/>
      <c r="AL29" s="47"/>
      <c r="AM29" s="47"/>
      <c r="AN29" s="47"/>
      <c r="AO29" s="47"/>
      <c r="AP29" s="47"/>
      <c r="AQ29" s="47"/>
      <c r="AR29" s="47" t="s">
        <v>235</v>
      </c>
      <c r="AS29" s="47" t="s">
        <v>236</v>
      </c>
      <c r="AT29" s="54" t="n">
        <v>0</v>
      </c>
    </row>
    <row r="30" customFormat="false" ht="14.25" hidden="false" customHeight="true" outlineLevel="0" collapsed="false">
      <c r="A30" s="47" t="n">
        <v>26</v>
      </c>
      <c r="B30" s="47" t="s">
        <v>243</v>
      </c>
      <c r="C30" s="47" t="s">
        <v>244</v>
      </c>
      <c r="D30" s="48" t="n">
        <v>46226</v>
      </c>
      <c r="E30" s="49" t="n">
        <f aca="false">YEAR(D30)</f>
        <v>2026</v>
      </c>
      <c r="F30" s="50" t="str">
        <f aca="false">TEXT(D30,"mmm")</f>
        <v>Jul</v>
      </c>
      <c r="G30" s="47" t="s">
        <v>230</v>
      </c>
      <c r="H30" s="47"/>
      <c r="I30" s="47"/>
      <c r="J30" s="47" t="s">
        <v>245</v>
      </c>
      <c r="K30" s="47"/>
      <c r="L30" s="47"/>
      <c r="M30" s="47" t="n">
        <v>1</v>
      </c>
      <c r="N30" s="47" t="s">
        <v>232</v>
      </c>
      <c r="O30" s="51" t="n">
        <f aca="false">100*96.5431</f>
        <v>9654.31</v>
      </c>
      <c r="P30" s="51" t="n">
        <v>0</v>
      </c>
      <c r="Q30" s="52" t="n">
        <f aca="false">M30*O30-P30</f>
        <v>9654.31</v>
      </c>
      <c r="R30" s="53" t="n">
        <v>0</v>
      </c>
      <c r="S30" s="47" t="s">
        <v>41</v>
      </c>
      <c r="T30" s="52" t="n">
        <f aca="false">IF(S30="IGST",ROUND(Q30*R30,2),0)</f>
        <v>0</v>
      </c>
      <c r="U30" s="52" t="n">
        <f aca="false">IF(S30="CGST+SGST",ROUND(Q30*R30/2,2),0)</f>
        <v>0</v>
      </c>
      <c r="V30" s="52" t="n">
        <f aca="false">U30</f>
        <v>0</v>
      </c>
      <c r="W30" s="51" t="n">
        <v>0</v>
      </c>
      <c r="X30" s="52" t="n">
        <f aca="false">Q30+T30+U30+V30+W30</f>
        <v>9654.31</v>
      </c>
      <c r="Y30" s="52" t="n">
        <f aca="false">ROUND(Q30*AT30,0)</f>
        <v>0</v>
      </c>
      <c r="Z30" s="52" t="n">
        <f aca="false">X30-Y30</f>
        <v>9654.31</v>
      </c>
      <c r="AA30" s="47"/>
      <c r="AB30" s="47"/>
      <c r="AC30" s="47"/>
      <c r="AD30" s="47" t="s">
        <v>233</v>
      </c>
      <c r="AE30" s="47" t="s">
        <v>176</v>
      </c>
      <c r="AF30" s="47" t="s">
        <v>177</v>
      </c>
      <c r="AG30" s="47"/>
      <c r="AH30" s="48"/>
      <c r="AI30" s="47"/>
      <c r="AJ30" s="47" t="s">
        <v>234</v>
      </c>
      <c r="AK30" s="47"/>
      <c r="AL30" s="47"/>
      <c r="AM30" s="47"/>
      <c r="AN30" s="47"/>
      <c r="AO30" s="47"/>
      <c r="AP30" s="47"/>
      <c r="AQ30" s="47"/>
      <c r="AR30" s="47" t="s">
        <v>235</v>
      </c>
      <c r="AS30" s="47" t="s">
        <v>236</v>
      </c>
      <c r="AT30" s="54" t="n">
        <v>0</v>
      </c>
    </row>
    <row r="31" customFormat="false" ht="14.25" hidden="false" customHeight="true" outlineLevel="0" collapsed="false">
      <c r="A31" s="47" t="n">
        <v>27</v>
      </c>
      <c r="B31" s="47" t="s">
        <v>246</v>
      </c>
      <c r="C31" s="47" t="s">
        <v>247</v>
      </c>
      <c r="D31" s="48" t="n">
        <v>46233</v>
      </c>
      <c r="E31" s="49" t="n">
        <f aca="false">YEAR(D31)</f>
        <v>2026</v>
      </c>
      <c r="F31" s="50" t="str">
        <f aca="false">TEXT(D31,"mmm")</f>
        <v>Jul</v>
      </c>
      <c r="G31" s="47" t="s">
        <v>230</v>
      </c>
      <c r="H31" s="47"/>
      <c r="I31" s="47"/>
      <c r="J31" s="47" t="s">
        <v>248</v>
      </c>
      <c r="K31" s="47" t="s">
        <v>249</v>
      </c>
      <c r="L31" s="47"/>
      <c r="M31" s="47" t="n">
        <v>1</v>
      </c>
      <c r="N31" s="47" t="s">
        <v>232</v>
      </c>
      <c r="O31" s="51" t="n">
        <f aca="false">100*95.7327</f>
        <v>9573.27</v>
      </c>
      <c r="P31" s="51" t="n">
        <v>0</v>
      </c>
      <c r="Q31" s="52" t="n">
        <f aca="false">M31*O31-P31</f>
        <v>9573.27</v>
      </c>
      <c r="R31" s="53" t="n">
        <v>0</v>
      </c>
      <c r="S31" s="47" t="s">
        <v>41</v>
      </c>
      <c r="T31" s="52" t="n">
        <f aca="false">IF(S31="IGST",ROUND(Q31*R31,2),0)</f>
        <v>0</v>
      </c>
      <c r="U31" s="52" t="n">
        <f aca="false">IF(S31="CGST+SGST",ROUND(Q31*R31/2,2),0)</f>
        <v>0</v>
      </c>
      <c r="V31" s="52" t="n">
        <f aca="false">U31</f>
        <v>0</v>
      </c>
      <c r="W31" s="51" t="n">
        <v>0</v>
      </c>
      <c r="X31" s="52" t="n">
        <f aca="false">Q31+T31+U31+V31+W31</f>
        <v>9573.27</v>
      </c>
      <c r="Y31" s="52" t="n">
        <f aca="false">ROUND(Q31*AT31,0)</f>
        <v>0</v>
      </c>
      <c r="Z31" s="52" t="n">
        <f aca="false">X31-Y31</f>
        <v>9573.27</v>
      </c>
      <c r="AA31" s="47"/>
      <c r="AB31" s="47"/>
      <c r="AC31" s="47"/>
      <c r="AD31" s="47" t="s">
        <v>233</v>
      </c>
      <c r="AE31" s="47" t="s">
        <v>176</v>
      </c>
      <c r="AF31" s="47" t="s">
        <v>177</v>
      </c>
      <c r="AG31" s="47"/>
      <c r="AH31" s="48"/>
      <c r="AI31" s="47"/>
      <c r="AJ31" s="47" t="s">
        <v>234</v>
      </c>
      <c r="AK31" s="47"/>
      <c r="AL31" s="47"/>
      <c r="AM31" s="47"/>
      <c r="AN31" s="47"/>
      <c r="AO31" s="47"/>
      <c r="AP31" s="47"/>
      <c r="AQ31" s="47"/>
      <c r="AR31" s="47" t="s">
        <v>235</v>
      </c>
      <c r="AS31" s="47" t="s">
        <v>236</v>
      </c>
      <c r="AT31" s="54" t="n">
        <v>0</v>
      </c>
    </row>
    <row r="32" customFormat="false" ht="14.25" hidden="false" customHeight="true" outlineLevel="0" collapsed="false">
      <c r="A32" s="47" t="n">
        <v>28</v>
      </c>
      <c r="B32" s="47" t="s">
        <v>250</v>
      </c>
      <c r="C32" s="47" t="s">
        <v>251</v>
      </c>
      <c r="D32" s="48" t="n">
        <v>46251</v>
      </c>
      <c r="E32" s="49" t="n">
        <f aca="false">YEAR(D32)</f>
        <v>2026</v>
      </c>
      <c r="F32" s="50" t="str">
        <f aca="false">TEXT(D32,"mmm")</f>
        <v>Aug</v>
      </c>
      <c r="G32" s="47" t="s">
        <v>230</v>
      </c>
      <c r="H32" s="47"/>
      <c r="I32" s="47"/>
      <c r="J32" s="47" t="s">
        <v>252</v>
      </c>
      <c r="K32" s="47" t="s">
        <v>249</v>
      </c>
      <c r="L32" s="47"/>
      <c r="M32" s="47" t="n">
        <v>1</v>
      </c>
      <c r="N32" s="47" t="s">
        <v>232</v>
      </c>
      <c r="O32" s="51" t="n">
        <f aca="false">100*95.6019</f>
        <v>9560.19</v>
      </c>
      <c r="P32" s="51" t="n">
        <v>0</v>
      </c>
      <c r="Q32" s="52" t="n">
        <f aca="false">M32*O32-P32</f>
        <v>9560.19</v>
      </c>
      <c r="R32" s="53" t="n">
        <v>0</v>
      </c>
      <c r="S32" s="47" t="s">
        <v>41</v>
      </c>
      <c r="T32" s="52" t="n">
        <f aca="false">IF(S32="IGST",ROUND(Q32*R32,2),0)</f>
        <v>0</v>
      </c>
      <c r="U32" s="52" t="n">
        <f aca="false">IF(S32="CGST+SGST",ROUND(Q32*R32/2,2),0)</f>
        <v>0</v>
      </c>
      <c r="V32" s="52" t="n">
        <f aca="false">U32</f>
        <v>0</v>
      </c>
      <c r="W32" s="51" t="n">
        <v>0</v>
      </c>
      <c r="X32" s="52" t="n">
        <f aca="false">Q32+T32+U32+V32+W32</f>
        <v>9560.19</v>
      </c>
      <c r="Y32" s="52" t="n">
        <f aca="false">ROUND(Q32*AT32,0)</f>
        <v>0</v>
      </c>
      <c r="Z32" s="52" t="n">
        <f aca="false">X32-Y32</f>
        <v>9560.19</v>
      </c>
      <c r="AA32" s="47"/>
      <c r="AB32" s="47"/>
      <c r="AC32" s="47"/>
      <c r="AD32" s="47" t="s">
        <v>233</v>
      </c>
      <c r="AE32" s="47" t="s">
        <v>176</v>
      </c>
      <c r="AF32" s="47" t="s">
        <v>177</v>
      </c>
      <c r="AG32" s="47"/>
      <c r="AH32" s="48"/>
      <c r="AI32" s="47"/>
      <c r="AJ32" s="47" t="s">
        <v>234</v>
      </c>
      <c r="AK32" s="47"/>
      <c r="AL32" s="47"/>
      <c r="AM32" s="47"/>
      <c r="AN32" s="47"/>
      <c r="AO32" s="47"/>
      <c r="AP32" s="47"/>
      <c r="AQ32" s="47"/>
      <c r="AR32" s="47" t="s">
        <v>235</v>
      </c>
      <c r="AS32" s="47" t="s">
        <v>236</v>
      </c>
      <c r="AT32" s="54" t="n">
        <v>0</v>
      </c>
    </row>
    <row r="33" customFormat="false" ht="14.25" hidden="false" customHeight="true" outlineLevel="0" collapsed="false">
      <c r="A33" s="47" t="n">
        <v>29</v>
      </c>
      <c r="B33" s="47" t="s">
        <v>253</v>
      </c>
      <c r="C33" s="47" t="s">
        <v>254</v>
      </c>
      <c r="D33" s="48" t="n">
        <v>46267</v>
      </c>
      <c r="E33" s="49" t="n">
        <f aca="false">YEAR(D33)</f>
        <v>2026</v>
      </c>
      <c r="F33" s="50" t="str">
        <f aca="false">TEXT(D33,"mmm")</f>
        <v>Sep</v>
      </c>
      <c r="G33" s="47" t="s">
        <v>230</v>
      </c>
      <c r="H33" s="47"/>
      <c r="I33" s="47"/>
      <c r="J33" s="47" t="s">
        <v>255</v>
      </c>
      <c r="K33" s="47" t="s">
        <v>249</v>
      </c>
      <c r="L33" s="47"/>
      <c r="M33" s="47" t="n">
        <v>1</v>
      </c>
      <c r="N33" s="47" t="s">
        <v>232</v>
      </c>
      <c r="O33" s="51" t="n">
        <f aca="false">20*94.9701</f>
        <v>1899.402</v>
      </c>
      <c r="P33" s="51" t="n">
        <v>0</v>
      </c>
      <c r="Q33" s="52" t="n">
        <f aca="false">M33*O33-P33</f>
        <v>1899.402</v>
      </c>
      <c r="R33" s="53" t="n">
        <v>0</v>
      </c>
      <c r="S33" s="47" t="s">
        <v>41</v>
      </c>
      <c r="T33" s="52" t="n">
        <f aca="false">IF(S33="IGST",ROUND(Q33*R33,2),0)</f>
        <v>0</v>
      </c>
      <c r="U33" s="52" t="n">
        <f aca="false">IF(S33="CGST+SGST",ROUND(Q33*R33/2,2),0)</f>
        <v>0</v>
      </c>
      <c r="V33" s="52" t="n">
        <f aca="false">U33</f>
        <v>0</v>
      </c>
      <c r="W33" s="51" t="n">
        <v>0</v>
      </c>
      <c r="X33" s="52" t="n">
        <f aca="false">Q33+T33+U33+V33+W33</f>
        <v>1899.402</v>
      </c>
      <c r="Y33" s="52" t="n">
        <f aca="false">ROUND(Q33*AT33,0)</f>
        <v>0</v>
      </c>
      <c r="Z33" s="52" t="n">
        <f aca="false">X33-Y33</f>
        <v>1899.402</v>
      </c>
      <c r="AA33" s="47"/>
      <c r="AB33" s="47"/>
      <c r="AC33" s="47"/>
      <c r="AD33" s="47" t="s">
        <v>233</v>
      </c>
      <c r="AE33" s="47" t="s">
        <v>176</v>
      </c>
      <c r="AF33" s="47" t="s">
        <v>177</v>
      </c>
      <c r="AG33" s="47"/>
      <c r="AH33" s="48"/>
      <c r="AI33" s="47"/>
      <c r="AJ33" s="47" t="s">
        <v>234</v>
      </c>
      <c r="AK33" s="47"/>
      <c r="AL33" s="47"/>
      <c r="AM33" s="47"/>
      <c r="AN33" s="47"/>
      <c r="AO33" s="47"/>
      <c r="AP33" s="47"/>
      <c r="AQ33" s="47"/>
      <c r="AR33" s="47" t="s">
        <v>235</v>
      </c>
      <c r="AS33" s="47" t="s">
        <v>236</v>
      </c>
      <c r="AT33" s="54" t="n">
        <v>0</v>
      </c>
    </row>
    <row r="34" customFormat="false" ht="14.25" hidden="false" customHeight="true" outlineLevel="0" collapsed="false">
      <c r="A34" s="47" t="n">
        <v>30</v>
      </c>
      <c r="B34" s="47" t="s">
        <v>256</v>
      </c>
      <c r="C34" s="47" t="s">
        <v>257</v>
      </c>
      <c r="D34" s="48" t="n">
        <v>46268</v>
      </c>
      <c r="E34" s="49" t="n">
        <f aca="false">YEAR(D34)</f>
        <v>2026</v>
      </c>
      <c r="F34" s="50" t="str">
        <f aca="false">TEXT(D34,"mmm")</f>
        <v>Sep</v>
      </c>
      <c r="G34" s="47" t="s">
        <v>230</v>
      </c>
      <c r="H34" s="47"/>
      <c r="I34" s="47"/>
      <c r="J34" s="47" t="s">
        <v>258</v>
      </c>
      <c r="K34" s="47" t="s">
        <v>249</v>
      </c>
      <c r="L34" s="47"/>
      <c r="M34" s="47" t="n">
        <v>1</v>
      </c>
      <c r="N34" s="47" t="s">
        <v>232</v>
      </c>
      <c r="O34" s="51" t="n">
        <f aca="false">100*94.4688</f>
        <v>9446.88</v>
      </c>
      <c r="P34" s="51" t="n">
        <v>0</v>
      </c>
      <c r="Q34" s="52" t="n">
        <f aca="false">M34*O34-P34</f>
        <v>9446.88</v>
      </c>
      <c r="R34" s="53" t="n">
        <v>0</v>
      </c>
      <c r="S34" s="47" t="s">
        <v>41</v>
      </c>
      <c r="T34" s="52" t="n">
        <f aca="false">IF(S34="IGST",ROUND(Q34*R34,2),0)</f>
        <v>0</v>
      </c>
      <c r="U34" s="52" t="n">
        <f aca="false">IF(S34="CGST+SGST",ROUND(Q34*R34/2,2),0)</f>
        <v>0</v>
      </c>
      <c r="V34" s="52" t="n">
        <f aca="false">U34</f>
        <v>0</v>
      </c>
      <c r="W34" s="51" t="n">
        <v>0</v>
      </c>
      <c r="X34" s="52" t="n">
        <f aca="false">Q34+T34+U34+V34+W34</f>
        <v>9446.88</v>
      </c>
      <c r="Y34" s="52" t="n">
        <f aca="false">ROUND(Q34*AT34,0)</f>
        <v>0</v>
      </c>
      <c r="Z34" s="52" t="n">
        <f aca="false">X34-Y34</f>
        <v>9446.88</v>
      </c>
      <c r="AA34" s="47"/>
      <c r="AB34" s="47"/>
      <c r="AC34" s="47"/>
      <c r="AD34" s="47" t="s">
        <v>233</v>
      </c>
      <c r="AE34" s="47" t="s">
        <v>176</v>
      </c>
      <c r="AF34" s="47" t="s">
        <v>177</v>
      </c>
      <c r="AG34" s="47"/>
      <c r="AH34" s="48"/>
      <c r="AI34" s="47"/>
      <c r="AJ34" s="47" t="s">
        <v>234</v>
      </c>
      <c r="AK34" s="47"/>
      <c r="AL34" s="47"/>
      <c r="AM34" s="47"/>
      <c r="AN34" s="47"/>
      <c r="AO34" s="47"/>
      <c r="AP34" s="47"/>
      <c r="AQ34" s="47"/>
      <c r="AR34" s="47" t="s">
        <v>235</v>
      </c>
      <c r="AS34" s="47" t="s">
        <v>236</v>
      </c>
      <c r="AT34" s="54" t="n">
        <v>0</v>
      </c>
    </row>
    <row r="35" customFormat="false" ht="14.25" hidden="false" customHeight="true" outlineLevel="0" collapsed="false">
      <c r="A35" s="47" t="n">
        <v>31</v>
      </c>
      <c r="B35" s="47" t="s">
        <v>259</v>
      </c>
      <c r="C35" s="47" t="s">
        <v>260</v>
      </c>
      <c r="D35" s="48" t="n">
        <v>46272</v>
      </c>
      <c r="E35" s="49" t="n">
        <f aca="false">YEAR(D35)</f>
        <v>2026</v>
      </c>
      <c r="F35" s="50" t="str">
        <f aca="false">TEXT(D35,"mmm")</f>
        <v>Sep</v>
      </c>
      <c r="G35" s="47" t="s">
        <v>230</v>
      </c>
      <c r="H35" s="47"/>
      <c r="I35" s="47"/>
      <c r="J35" s="47" t="s">
        <v>261</v>
      </c>
      <c r="K35" s="47" t="s">
        <v>249</v>
      </c>
      <c r="L35" s="47"/>
      <c r="M35" s="47" t="n">
        <v>1</v>
      </c>
      <c r="N35" s="47" t="s">
        <v>232</v>
      </c>
      <c r="O35" s="51" t="n">
        <f aca="false">100*94.4467</f>
        <v>9444.67</v>
      </c>
      <c r="P35" s="51" t="n">
        <v>0</v>
      </c>
      <c r="Q35" s="52" t="n">
        <f aca="false">M35*O35-P35</f>
        <v>9444.67</v>
      </c>
      <c r="R35" s="53" t="n">
        <v>0</v>
      </c>
      <c r="S35" s="47" t="s">
        <v>41</v>
      </c>
      <c r="T35" s="52" t="n">
        <f aca="false">IF(S35="IGST",ROUND(Q35*R35,2),0)</f>
        <v>0</v>
      </c>
      <c r="U35" s="52" t="n">
        <f aca="false">IF(S35="CGST+SGST",ROUND(Q35*R35/2,2),0)</f>
        <v>0</v>
      </c>
      <c r="V35" s="52" t="n">
        <f aca="false">U35</f>
        <v>0</v>
      </c>
      <c r="W35" s="51" t="n">
        <v>0</v>
      </c>
      <c r="X35" s="52" t="n">
        <f aca="false">Q35+T35+U35+V35+W35</f>
        <v>9444.67</v>
      </c>
      <c r="Y35" s="52" t="n">
        <f aca="false">ROUND(Q35*AT35,0)</f>
        <v>0</v>
      </c>
      <c r="Z35" s="52" t="n">
        <f aca="false">X35-Y35</f>
        <v>9444.67</v>
      </c>
      <c r="AA35" s="47"/>
      <c r="AB35" s="47"/>
      <c r="AC35" s="47"/>
      <c r="AD35" s="47" t="s">
        <v>233</v>
      </c>
      <c r="AE35" s="47" t="s">
        <v>176</v>
      </c>
      <c r="AF35" s="47" t="s">
        <v>177</v>
      </c>
      <c r="AG35" s="47"/>
      <c r="AH35" s="48"/>
      <c r="AI35" s="47"/>
      <c r="AJ35" s="47" t="s">
        <v>234</v>
      </c>
      <c r="AK35" s="47"/>
      <c r="AL35" s="47"/>
      <c r="AM35" s="47"/>
      <c r="AN35" s="47"/>
      <c r="AO35" s="47"/>
      <c r="AP35" s="47"/>
      <c r="AQ35" s="47"/>
      <c r="AR35" s="47" t="s">
        <v>235</v>
      </c>
      <c r="AS35" s="47" t="s">
        <v>236</v>
      </c>
      <c r="AT35" s="54" t="n">
        <v>0</v>
      </c>
    </row>
    <row r="36" customFormat="false" ht="14.25" hidden="false" customHeight="true" outlineLevel="0" collapsed="false">
      <c r="A36" s="47" t="n">
        <v>32</v>
      </c>
      <c r="B36" s="47" t="s">
        <v>262</v>
      </c>
      <c r="C36" s="47" t="s">
        <v>263</v>
      </c>
      <c r="D36" s="48" t="n">
        <v>46277</v>
      </c>
      <c r="E36" s="49" t="n">
        <f aca="false">YEAR(D36)</f>
        <v>2026</v>
      </c>
      <c r="F36" s="50" t="str">
        <f aca="false">TEXT(D36,"mmm")</f>
        <v>Sep</v>
      </c>
      <c r="G36" s="47" t="s">
        <v>21</v>
      </c>
      <c r="H36" s="47" t="s">
        <v>264</v>
      </c>
      <c r="I36" s="47"/>
      <c r="J36" s="47" t="s">
        <v>265</v>
      </c>
      <c r="K36" s="47" t="s">
        <v>266</v>
      </c>
      <c r="L36" s="47"/>
      <c r="M36" s="47" t="n">
        <v>1</v>
      </c>
      <c r="N36" s="47" t="s">
        <v>171</v>
      </c>
      <c r="O36" s="51" t="n">
        <v>1200000</v>
      </c>
      <c r="P36" s="51" t="n">
        <v>0</v>
      </c>
      <c r="Q36" s="52" t="n">
        <f aca="false">M36*O36-P36</f>
        <v>1200000</v>
      </c>
      <c r="R36" s="53" t="n">
        <v>0.18</v>
      </c>
      <c r="S36" s="47" t="s">
        <v>37</v>
      </c>
      <c r="T36" s="52" t="n">
        <f aca="false">IF(S36="IGST",ROUND(Q36*R36,2),0)</f>
        <v>216000</v>
      </c>
      <c r="U36" s="52" t="n">
        <f aca="false">IF(S36="CGST+SGST",ROUND(Q36*R36/2,2),0)</f>
        <v>0</v>
      </c>
      <c r="V36" s="52" t="n">
        <f aca="false">U36</f>
        <v>0</v>
      </c>
      <c r="W36" s="51" t="n">
        <v>0</v>
      </c>
      <c r="X36" s="52" t="n">
        <f aca="false">Q36+T36+U36+V36+W36</f>
        <v>1416000</v>
      </c>
      <c r="Y36" s="52" t="n">
        <f aca="false">ROUND(Q36*AT36,0)</f>
        <v>120000</v>
      </c>
      <c r="Z36" s="52" t="n">
        <f aca="false">X36-Y36</f>
        <v>1296000</v>
      </c>
      <c r="AA36" s="47"/>
      <c r="AB36" s="47"/>
      <c r="AC36" s="47"/>
      <c r="AD36" s="47" t="s">
        <v>267</v>
      </c>
      <c r="AE36" s="47" t="s">
        <v>176</v>
      </c>
      <c r="AF36" s="47" t="s">
        <v>177</v>
      </c>
      <c r="AG36" s="47"/>
      <c r="AH36" s="48"/>
      <c r="AI36" s="47"/>
      <c r="AJ36" s="47"/>
      <c r="AK36" s="47"/>
      <c r="AL36" s="47"/>
      <c r="AM36" s="47"/>
      <c r="AN36" s="47"/>
      <c r="AO36" s="47"/>
      <c r="AP36" s="47"/>
      <c r="AQ36" s="47"/>
      <c r="AR36" s="47" t="s">
        <v>268</v>
      </c>
      <c r="AS36" s="47" t="s">
        <v>269</v>
      </c>
      <c r="AT36" s="54" t="n">
        <v>0.1</v>
      </c>
    </row>
    <row r="37" customFormat="false" ht="14.25" hidden="false" customHeight="true" outlineLevel="0" collapsed="false">
      <c r="A37" s="47" t="n">
        <v>33</v>
      </c>
      <c r="B37" s="47" t="s">
        <v>270</v>
      </c>
      <c r="C37" s="47" t="s">
        <v>271</v>
      </c>
      <c r="D37" s="48" t="n">
        <v>46275</v>
      </c>
      <c r="E37" s="49" t="n">
        <f aca="false">YEAR(D37)</f>
        <v>2026</v>
      </c>
      <c r="F37" s="50" t="str">
        <f aca="false">TEXT(D37,"mmm")</f>
        <v>Sep</v>
      </c>
      <c r="G37" s="47" t="s">
        <v>272</v>
      </c>
      <c r="H37" s="47" t="s">
        <v>273</v>
      </c>
      <c r="I37" s="47"/>
      <c r="J37" s="47" t="s">
        <v>274</v>
      </c>
      <c r="K37" s="47" t="s">
        <v>275</v>
      </c>
      <c r="L37" s="47"/>
      <c r="M37" s="47" t="n">
        <v>1</v>
      </c>
      <c r="N37" s="47" t="s">
        <v>232</v>
      </c>
      <c r="O37" s="51" t="n">
        <v>1200</v>
      </c>
      <c r="P37" s="51" t="n">
        <v>0</v>
      </c>
      <c r="Q37" s="52" t="n">
        <f aca="false">M37*O37-P37</f>
        <v>1200</v>
      </c>
      <c r="R37" s="53" t="n">
        <v>0.18</v>
      </c>
      <c r="S37" s="47" t="s">
        <v>37</v>
      </c>
      <c r="T37" s="52" t="n">
        <f aca="false">IF(S37="IGST",ROUND(Q37*R37,2),0)</f>
        <v>216</v>
      </c>
      <c r="U37" s="52" t="n">
        <f aca="false">IF(S37="CGST+SGST",ROUND(Q37*R37/2,2),0)</f>
        <v>0</v>
      </c>
      <c r="V37" s="52" t="n">
        <f aca="false">U37</f>
        <v>0</v>
      </c>
      <c r="W37" s="51" t="n">
        <v>0</v>
      </c>
      <c r="X37" s="52" t="n">
        <f aca="false">Q37+T37+U37+V37+W37</f>
        <v>1416</v>
      </c>
      <c r="Y37" s="52" t="n">
        <f aca="false">ROUND(Q37*AT37,0)</f>
        <v>24</v>
      </c>
      <c r="Z37" s="52" t="n">
        <f aca="false">X37-Y37</f>
        <v>1392</v>
      </c>
      <c r="AA37" s="47"/>
      <c r="AB37" s="47"/>
      <c r="AC37" s="47"/>
      <c r="AD37" s="47" t="s">
        <v>137</v>
      </c>
      <c r="AE37" s="47" t="s">
        <v>176</v>
      </c>
      <c r="AF37" s="47" t="s">
        <v>177</v>
      </c>
      <c r="AG37" s="47" t="s">
        <v>276</v>
      </c>
      <c r="AH37" s="48" t="n">
        <v>45217</v>
      </c>
      <c r="AI37" s="47"/>
      <c r="AJ37" s="47"/>
      <c r="AK37" s="47" t="s">
        <v>277</v>
      </c>
      <c r="AL37" s="47" t="s">
        <v>278</v>
      </c>
      <c r="AM37" s="47" t="s">
        <v>279</v>
      </c>
      <c r="AN37" s="47"/>
      <c r="AO37" s="47"/>
      <c r="AP37" s="47"/>
      <c r="AQ37" s="47"/>
      <c r="AR37" s="47" t="s">
        <v>280</v>
      </c>
      <c r="AS37" s="47" t="s">
        <v>281</v>
      </c>
      <c r="AT37" s="54" t="n">
        <v>0.02</v>
      </c>
    </row>
    <row r="38" customFormat="false" ht="14.25" hidden="false" customHeight="true" outlineLevel="0" collapsed="false">
      <c r="A38" s="47" t="n">
        <v>34</v>
      </c>
      <c r="B38" s="47" t="s">
        <v>270</v>
      </c>
      <c r="C38" s="47" t="s">
        <v>271</v>
      </c>
      <c r="D38" s="48" t="n">
        <v>46275</v>
      </c>
      <c r="E38" s="49" t="n">
        <f aca="false">YEAR(D38)</f>
        <v>2026</v>
      </c>
      <c r="F38" s="50" t="str">
        <f aca="false">TEXT(D38,"mmm")</f>
        <v>Sep</v>
      </c>
      <c r="G38" s="47" t="s">
        <v>272</v>
      </c>
      <c r="H38" s="47" t="s">
        <v>273</v>
      </c>
      <c r="I38" s="47"/>
      <c r="J38" s="47" t="s">
        <v>282</v>
      </c>
      <c r="K38" s="47" t="s">
        <v>275</v>
      </c>
      <c r="L38" s="47"/>
      <c r="M38" s="47" t="n">
        <v>1</v>
      </c>
      <c r="N38" s="47" t="s">
        <v>232</v>
      </c>
      <c r="O38" s="51" t="n">
        <v>4200</v>
      </c>
      <c r="P38" s="51" t="n">
        <v>0</v>
      </c>
      <c r="Q38" s="52" t="n">
        <f aca="false">M38*O38-P38</f>
        <v>4200</v>
      </c>
      <c r="R38" s="53" t="n">
        <v>0.18</v>
      </c>
      <c r="S38" s="47" t="s">
        <v>37</v>
      </c>
      <c r="T38" s="52" t="n">
        <f aca="false">IF(S38="IGST",ROUND(Q38*R38,2),0)</f>
        <v>756</v>
      </c>
      <c r="U38" s="52" t="n">
        <f aca="false">IF(S38="CGST+SGST",ROUND(Q38*R38/2,2),0)</f>
        <v>0</v>
      </c>
      <c r="V38" s="52" t="n">
        <f aca="false">U38</f>
        <v>0</v>
      </c>
      <c r="W38" s="51" t="n">
        <v>0</v>
      </c>
      <c r="X38" s="52" t="n">
        <f aca="false">Q38+T38+U38+V38+W38</f>
        <v>4956</v>
      </c>
      <c r="Y38" s="52" t="n">
        <f aca="false">ROUND(Q38*AT38,0)</f>
        <v>84</v>
      </c>
      <c r="Z38" s="52" t="n">
        <f aca="false">X38-Y38</f>
        <v>4872</v>
      </c>
      <c r="AA38" s="47"/>
      <c r="AB38" s="47"/>
      <c r="AC38" s="47"/>
      <c r="AD38" s="47" t="s">
        <v>137</v>
      </c>
      <c r="AE38" s="47" t="s">
        <v>176</v>
      </c>
      <c r="AF38" s="47" t="s">
        <v>177</v>
      </c>
      <c r="AG38" s="47" t="s">
        <v>276</v>
      </c>
      <c r="AH38" s="48" t="n">
        <v>45217</v>
      </c>
      <c r="AI38" s="47"/>
      <c r="AJ38" s="47"/>
      <c r="AK38" s="47" t="s">
        <v>277</v>
      </c>
      <c r="AL38" s="47" t="s">
        <v>278</v>
      </c>
      <c r="AM38" s="47" t="s">
        <v>279</v>
      </c>
      <c r="AN38" s="47"/>
      <c r="AO38" s="47"/>
      <c r="AP38" s="47"/>
      <c r="AQ38" s="47"/>
      <c r="AR38" s="47" t="s">
        <v>280</v>
      </c>
      <c r="AS38" s="47" t="s">
        <v>281</v>
      </c>
      <c r="AT38" s="54" t="n">
        <v>0.02</v>
      </c>
    </row>
    <row r="39" customFormat="false" ht="14.25" hidden="false" customHeight="true" outlineLevel="0" collapsed="false">
      <c r="A39" s="47" t="n">
        <v>35</v>
      </c>
      <c r="B39" s="47" t="s">
        <v>270</v>
      </c>
      <c r="C39" s="47" t="s">
        <v>271</v>
      </c>
      <c r="D39" s="48" t="n">
        <v>46275</v>
      </c>
      <c r="E39" s="49" t="n">
        <f aca="false">YEAR(D39)</f>
        <v>2026</v>
      </c>
      <c r="F39" s="50" t="str">
        <f aca="false">TEXT(D39,"mmm")</f>
        <v>Sep</v>
      </c>
      <c r="G39" s="47" t="s">
        <v>272</v>
      </c>
      <c r="H39" s="47" t="s">
        <v>273</v>
      </c>
      <c r="I39" s="47"/>
      <c r="J39" s="47" t="s">
        <v>283</v>
      </c>
      <c r="K39" s="47" t="s">
        <v>275</v>
      </c>
      <c r="L39" s="47"/>
      <c r="M39" s="47" t="n">
        <v>1</v>
      </c>
      <c r="N39" s="47" t="s">
        <v>232</v>
      </c>
      <c r="O39" s="51" t="n">
        <v>600</v>
      </c>
      <c r="P39" s="51" t="n">
        <v>0</v>
      </c>
      <c r="Q39" s="52" t="n">
        <f aca="false">M39*O39-P39</f>
        <v>600</v>
      </c>
      <c r="R39" s="53" t="n">
        <v>0.18</v>
      </c>
      <c r="S39" s="47" t="s">
        <v>37</v>
      </c>
      <c r="T39" s="52" t="n">
        <f aca="false">IF(S39="IGST",ROUND(Q39*R39,2),0)</f>
        <v>108</v>
      </c>
      <c r="U39" s="52" t="n">
        <f aca="false">IF(S39="CGST+SGST",ROUND(Q39*R39/2,2),0)</f>
        <v>0</v>
      </c>
      <c r="V39" s="52" t="n">
        <f aca="false">U39</f>
        <v>0</v>
      </c>
      <c r="W39" s="51" t="n">
        <v>0</v>
      </c>
      <c r="X39" s="52" t="n">
        <f aca="false">Q39+T39+U39+V39+W39</f>
        <v>708</v>
      </c>
      <c r="Y39" s="52" t="n">
        <f aca="false">ROUND(Q39*AT39,0)</f>
        <v>12</v>
      </c>
      <c r="Z39" s="52" t="n">
        <f aca="false">X39-Y39</f>
        <v>696</v>
      </c>
      <c r="AA39" s="47"/>
      <c r="AB39" s="47"/>
      <c r="AC39" s="47"/>
      <c r="AD39" s="47" t="s">
        <v>137</v>
      </c>
      <c r="AE39" s="47" t="s">
        <v>176</v>
      </c>
      <c r="AF39" s="47" t="s">
        <v>177</v>
      </c>
      <c r="AG39" s="47" t="s">
        <v>276</v>
      </c>
      <c r="AH39" s="48" t="n">
        <v>45217</v>
      </c>
      <c r="AI39" s="47"/>
      <c r="AJ39" s="47"/>
      <c r="AK39" s="47" t="s">
        <v>277</v>
      </c>
      <c r="AL39" s="47" t="s">
        <v>278</v>
      </c>
      <c r="AM39" s="47" t="s">
        <v>279</v>
      </c>
      <c r="AN39" s="47"/>
      <c r="AO39" s="47"/>
      <c r="AP39" s="47"/>
      <c r="AQ39" s="47"/>
      <c r="AR39" s="47" t="s">
        <v>280</v>
      </c>
      <c r="AS39" s="47" t="s">
        <v>281</v>
      </c>
      <c r="AT39" s="54" t="n">
        <v>0.02</v>
      </c>
    </row>
    <row r="40" customFormat="false" ht="14.25" hidden="false" customHeight="true" outlineLevel="0" collapsed="false">
      <c r="A40" s="47" t="n">
        <v>36</v>
      </c>
      <c r="B40" s="47" t="s">
        <v>270</v>
      </c>
      <c r="C40" s="47" t="s">
        <v>271</v>
      </c>
      <c r="D40" s="48" t="n">
        <v>46275</v>
      </c>
      <c r="E40" s="49" t="n">
        <f aca="false">YEAR(D40)</f>
        <v>2026</v>
      </c>
      <c r="F40" s="50" t="str">
        <f aca="false">TEXT(D40,"mmm")</f>
        <v>Sep</v>
      </c>
      <c r="G40" s="47" t="s">
        <v>272</v>
      </c>
      <c r="H40" s="47" t="s">
        <v>273</v>
      </c>
      <c r="I40" s="47"/>
      <c r="J40" s="47" t="s">
        <v>284</v>
      </c>
      <c r="K40" s="47" t="s">
        <v>275</v>
      </c>
      <c r="L40" s="47"/>
      <c r="M40" s="47" t="n">
        <v>1</v>
      </c>
      <c r="N40" s="47" t="s">
        <v>232</v>
      </c>
      <c r="O40" s="51" t="n">
        <v>600</v>
      </c>
      <c r="P40" s="51" t="n">
        <v>0</v>
      </c>
      <c r="Q40" s="52" t="n">
        <f aca="false">M40*O40-P40</f>
        <v>600</v>
      </c>
      <c r="R40" s="53" t="n">
        <v>0.18</v>
      </c>
      <c r="S40" s="47" t="s">
        <v>37</v>
      </c>
      <c r="T40" s="52" t="n">
        <f aca="false">IF(S40="IGST",ROUND(Q40*R40,2),0)</f>
        <v>108</v>
      </c>
      <c r="U40" s="52" t="n">
        <f aca="false">IF(S40="CGST+SGST",ROUND(Q40*R40/2,2),0)</f>
        <v>0</v>
      </c>
      <c r="V40" s="52" t="n">
        <f aca="false">U40</f>
        <v>0</v>
      </c>
      <c r="W40" s="51" t="n">
        <v>0</v>
      </c>
      <c r="X40" s="52" t="n">
        <f aca="false">Q40+T40+U40+V40+W40</f>
        <v>708</v>
      </c>
      <c r="Y40" s="52" t="n">
        <f aca="false">ROUND(Q40*AT40,0)</f>
        <v>12</v>
      </c>
      <c r="Z40" s="52" t="n">
        <f aca="false">X40-Y40</f>
        <v>696</v>
      </c>
      <c r="AA40" s="47"/>
      <c r="AB40" s="47"/>
      <c r="AC40" s="47"/>
      <c r="AD40" s="47" t="s">
        <v>137</v>
      </c>
      <c r="AE40" s="47" t="s">
        <v>176</v>
      </c>
      <c r="AF40" s="47" t="s">
        <v>177</v>
      </c>
      <c r="AG40" s="47" t="s">
        <v>276</v>
      </c>
      <c r="AH40" s="48" t="n">
        <v>45217</v>
      </c>
      <c r="AI40" s="47"/>
      <c r="AJ40" s="47"/>
      <c r="AK40" s="47" t="s">
        <v>277</v>
      </c>
      <c r="AL40" s="47" t="s">
        <v>278</v>
      </c>
      <c r="AM40" s="47" t="s">
        <v>279</v>
      </c>
      <c r="AN40" s="47"/>
      <c r="AO40" s="47"/>
      <c r="AP40" s="47"/>
      <c r="AQ40" s="47"/>
      <c r="AR40" s="47" t="s">
        <v>280</v>
      </c>
      <c r="AS40" s="47" t="s">
        <v>281</v>
      </c>
      <c r="AT40" s="54" t="n">
        <v>0.02</v>
      </c>
    </row>
    <row r="41" customFormat="false" ht="14.25" hidden="false" customHeight="true" outlineLevel="0" collapsed="false">
      <c r="A41" s="47" t="n">
        <v>37</v>
      </c>
      <c r="B41" s="47" t="s">
        <v>270</v>
      </c>
      <c r="C41" s="47" t="s">
        <v>271</v>
      </c>
      <c r="D41" s="48" t="n">
        <v>46275</v>
      </c>
      <c r="E41" s="49" t="n">
        <f aca="false">YEAR(D41)</f>
        <v>2026</v>
      </c>
      <c r="F41" s="50" t="str">
        <f aca="false">TEXT(D41,"mmm")</f>
        <v>Sep</v>
      </c>
      <c r="G41" s="47" t="s">
        <v>272</v>
      </c>
      <c r="H41" s="47" t="s">
        <v>273</v>
      </c>
      <c r="I41" s="47"/>
      <c r="J41" s="47" t="s">
        <v>285</v>
      </c>
      <c r="K41" s="47" t="s">
        <v>275</v>
      </c>
      <c r="L41" s="47"/>
      <c r="M41" s="47" t="n">
        <v>1</v>
      </c>
      <c r="N41" s="47" t="s">
        <v>232</v>
      </c>
      <c r="O41" s="51" t="n">
        <v>2700</v>
      </c>
      <c r="P41" s="51" t="n">
        <v>0</v>
      </c>
      <c r="Q41" s="52" t="n">
        <f aca="false">M41*O41-P41</f>
        <v>2700</v>
      </c>
      <c r="R41" s="53" t="n">
        <v>0.18</v>
      </c>
      <c r="S41" s="47" t="s">
        <v>37</v>
      </c>
      <c r="T41" s="52" t="n">
        <f aca="false">IF(S41="IGST",ROUND(Q41*R41,2),0)</f>
        <v>486</v>
      </c>
      <c r="U41" s="52" t="n">
        <f aca="false">IF(S41="CGST+SGST",ROUND(Q41*R41/2,2),0)</f>
        <v>0</v>
      </c>
      <c r="V41" s="52" t="n">
        <f aca="false">U41</f>
        <v>0</v>
      </c>
      <c r="W41" s="51" t="n">
        <v>0</v>
      </c>
      <c r="X41" s="52" t="n">
        <f aca="false">Q41+T41+U41+V41+W41</f>
        <v>3186</v>
      </c>
      <c r="Y41" s="52" t="n">
        <f aca="false">ROUND(Q41*AT41,0)</f>
        <v>54</v>
      </c>
      <c r="Z41" s="52" t="n">
        <f aca="false">X41-Y41</f>
        <v>3132</v>
      </c>
      <c r="AA41" s="47"/>
      <c r="AB41" s="47"/>
      <c r="AC41" s="47"/>
      <c r="AD41" s="47" t="s">
        <v>137</v>
      </c>
      <c r="AE41" s="47" t="s">
        <v>176</v>
      </c>
      <c r="AF41" s="47" t="s">
        <v>177</v>
      </c>
      <c r="AG41" s="47" t="s">
        <v>276</v>
      </c>
      <c r="AH41" s="48" t="n">
        <v>45217</v>
      </c>
      <c r="AI41" s="47"/>
      <c r="AJ41" s="47"/>
      <c r="AK41" s="47" t="s">
        <v>277</v>
      </c>
      <c r="AL41" s="47" t="s">
        <v>278</v>
      </c>
      <c r="AM41" s="47" t="s">
        <v>279</v>
      </c>
      <c r="AN41" s="47"/>
      <c r="AO41" s="47"/>
      <c r="AP41" s="47"/>
      <c r="AQ41" s="47"/>
      <c r="AR41" s="47" t="s">
        <v>280</v>
      </c>
      <c r="AS41" s="47" t="s">
        <v>281</v>
      </c>
      <c r="AT41" s="54" t="n">
        <v>0.02</v>
      </c>
    </row>
    <row r="42" customFormat="false" ht="14.25" hidden="false" customHeight="true" outlineLevel="0" collapsed="false">
      <c r="A42" s="47" t="n">
        <v>38</v>
      </c>
      <c r="B42" s="47" t="s">
        <v>270</v>
      </c>
      <c r="C42" s="47" t="s">
        <v>271</v>
      </c>
      <c r="D42" s="48" t="n">
        <v>46275</v>
      </c>
      <c r="E42" s="49" t="n">
        <f aca="false">YEAR(D42)</f>
        <v>2026</v>
      </c>
      <c r="F42" s="50" t="str">
        <f aca="false">TEXT(D42,"mmm")</f>
        <v>Sep</v>
      </c>
      <c r="G42" s="47" t="s">
        <v>272</v>
      </c>
      <c r="H42" s="47" t="s">
        <v>273</v>
      </c>
      <c r="I42" s="47"/>
      <c r="J42" s="47" t="s">
        <v>286</v>
      </c>
      <c r="K42" s="47" t="s">
        <v>275</v>
      </c>
      <c r="L42" s="47"/>
      <c r="M42" s="47" t="n">
        <v>1</v>
      </c>
      <c r="N42" s="47" t="s">
        <v>232</v>
      </c>
      <c r="O42" s="51" t="n">
        <v>1800</v>
      </c>
      <c r="P42" s="51" t="n">
        <v>0</v>
      </c>
      <c r="Q42" s="52" t="n">
        <f aca="false">M42*O42-P42</f>
        <v>1800</v>
      </c>
      <c r="R42" s="53" t="n">
        <v>0.18</v>
      </c>
      <c r="S42" s="47" t="s">
        <v>37</v>
      </c>
      <c r="T42" s="52" t="n">
        <f aca="false">IF(S42="IGST",ROUND(Q42*R42,2),0)</f>
        <v>324</v>
      </c>
      <c r="U42" s="52" t="n">
        <f aca="false">IF(S42="CGST+SGST",ROUND(Q42*R42/2,2),0)</f>
        <v>0</v>
      </c>
      <c r="V42" s="52" t="n">
        <f aca="false">U42</f>
        <v>0</v>
      </c>
      <c r="W42" s="51" t="n">
        <v>0</v>
      </c>
      <c r="X42" s="52" t="n">
        <f aca="false">Q42+T42+U42+V42+W42</f>
        <v>2124</v>
      </c>
      <c r="Y42" s="52" t="n">
        <f aca="false">ROUND(Q42*AT42,0)</f>
        <v>36</v>
      </c>
      <c r="Z42" s="52" t="n">
        <f aca="false">X42-Y42</f>
        <v>2088</v>
      </c>
      <c r="AA42" s="47"/>
      <c r="AB42" s="47"/>
      <c r="AC42" s="47"/>
      <c r="AD42" s="47" t="s">
        <v>137</v>
      </c>
      <c r="AE42" s="47" t="s">
        <v>176</v>
      </c>
      <c r="AF42" s="47" t="s">
        <v>177</v>
      </c>
      <c r="AG42" s="47" t="s">
        <v>276</v>
      </c>
      <c r="AH42" s="48" t="n">
        <v>45217</v>
      </c>
      <c r="AI42" s="47"/>
      <c r="AJ42" s="47"/>
      <c r="AK42" s="47" t="s">
        <v>277</v>
      </c>
      <c r="AL42" s="47" t="s">
        <v>278</v>
      </c>
      <c r="AM42" s="47" t="s">
        <v>279</v>
      </c>
      <c r="AN42" s="47"/>
      <c r="AO42" s="47"/>
      <c r="AP42" s="47"/>
      <c r="AQ42" s="47"/>
      <c r="AR42" s="47" t="s">
        <v>280</v>
      </c>
      <c r="AS42" s="47" t="s">
        <v>281</v>
      </c>
      <c r="AT42" s="54" t="n">
        <v>0.02</v>
      </c>
    </row>
    <row r="43" customFormat="false" ht="14.25" hidden="false" customHeight="true" outlineLevel="0" collapsed="false">
      <c r="A43" s="47" t="n">
        <v>39</v>
      </c>
      <c r="B43" s="47" t="s">
        <v>270</v>
      </c>
      <c r="C43" s="47" t="s">
        <v>271</v>
      </c>
      <c r="D43" s="48" t="n">
        <v>46275</v>
      </c>
      <c r="E43" s="49" t="n">
        <f aca="false">YEAR(D43)</f>
        <v>2026</v>
      </c>
      <c r="F43" s="50" t="str">
        <f aca="false">TEXT(D43,"mmm")</f>
        <v>Sep</v>
      </c>
      <c r="G43" s="47" t="s">
        <v>272</v>
      </c>
      <c r="H43" s="47" t="s">
        <v>273</v>
      </c>
      <c r="I43" s="47"/>
      <c r="J43" s="47" t="s">
        <v>287</v>
      </c>
      <c r="K43" s="47" t="s">
        <v>275</v>
      </c>
      <c r="L43" s="47"/>
      <c r="M43" s="47" t="n">
        <v>1</v>
      </c>
      <c r="N43" s="47" t="s">
        <v>232</v>
      </c>
      <c r="O43" s="51" t="n">
        <v>9000</v>
      </c>
      <c r="P43" s="51" t="n">
        <v>0</v>
      </c>
      <c r="Q43" s="52" t="n">
        <f aca="false">M43*O43-P43</f>
        <v>9000</v>
      </c>
      <c r="R43" s="53" t="n">
        <v>0.18</v>
      </c>
      <c r="S43" s="47" t="s">
        <v>37</v>
      </c>
      <c r="T43" s="52" t="n">
        <f aca="false">IF(S43="IGST",ROUND(Q43*R43,2),0)</f>
        <v>1620</v>
      </c>
      <c r="U43" s="52" t="n">
        <f aca="false">IF(S43="CGST+SGST",ROUND(Q43*R43/2,2),0)</f>
        <v>0</v>
      </c>
      <c r="V43" s="52" t="n">
        <f aca="false">U43</f>
        <v>0</v>
      </c>
      <c r="W43" s="51" t="n">
        <v>0</v>
      </c>
      <c r="X43" s="52" t="n">
        <f aca="false">Q43+T43+U43+V43+W43</f>
        <v>10620</v>
      </c>
      <c r="Y43" s="52" t="n">
        <f aca="false">ROUND(Q43*AT43,0)</f>
        <v>180</v>
      </c>
      <c r="Z43" s="52" t="n">
        <f aca="false">X43-Y43</f>
        <v>10440</v>
      </c>
      <c r="AA43" s="47"/>
      <c r="AB43" s="47"/>
      <c r="AC43" s="47"/>
      <c r="AD43" s="47" t="s">
        <v>137</v>
      </c>
      <c r="AE43" s="47" t="s">
        <v>176</v>
      </c>
      <c r="AF43" s="47" t="s">
        <v>177</v>
      </c>
      <c r="AG43" s="47" t="s">
        <v>276</v>
      </c>
      <c r="AH43" s="48" t="n">
        <v>45217</v>
      </c>
      <c r="AI43" s="47"/>
      <c r="AJ43" s="47"/>
      <c r="AK43" s="47" t="s">
        <v>277</v>
      </c>
      <c r="AL43" s="47" t="s">
        <v>278</v>
      </c>
      <c r="AM43" s="47" t="s">
        <v>279</v>
      </c>
      <c r="AN43" s="47"/>
      <c r="AO43" s="47"/>
      <c r="AP43" s="47"/>
      <c r="AQ43" s="47"/>
      <c r="AR43" s="47" t="s">
        <v>280</v>
      </c>
      <c r="AS43" s="47" t="s">
        <v>281</v>
      </c>
      <c r="AT43" s="54" t="n">
        <v>0.02</v>
      </c>
    </row>
    <row r="44" customFormat="false" ht="14.25" hidden="false" customHeight="true" outlineLevel="0" collapsed="false">
      <c r="A44" s="47" t="n">
        <v>40</v>
      </c>
      <c r="B44" s="47" t="s">
        <v>270</v>
      </c>
      <c r="C44" s="47" t="s">
        <v>271</v>
      </c>
      <c r="D44" s="48" t="n">
        <v>46275</v>
      </c>
      <c r="E44" s="49" t="n">
        <f aca="false">YEAR(D44)</f>
        <v>2026</v>
      </c>
      <c r="F44" s="50" t="str">
        <f aca="false">TEXT(D44,"mmm")</f>
        <v>Sep</v>
      </c>
      <c r="G44" s="47" t="s">
        <v>272</v>
      </c>
      <c r="H44" s="47" t="s">
        <v>273</v>
      </c>
      <c r="I44" s="47"/>
      <c r="J44" s="47" t="s">
        <v>288</v>
      </c>
      <c r="K44" s="47" t="s">
        <v>275</v>
      </c>
      <c r="L44" s="47"/>
      <c r="M44" s="47" t="n">
        <v>1</v>
      </c>
      <c r="N44" s="47" t="s">
        <v>232</v>
      </c>
      <c r="O44" s="51" t="n">
        <v>600</v>
      </c>
      <c r="P44" s="51" t="n">
        <v>0</v>
      </c>
      <c r="Q44" s="52" t="n">
        <f aca="false">M44*O44-P44</f>
        <v>600</v>
      </c>
      <c r="R44" s="53" t="n">
        <v>0.18</v>
      </c>
      <c r="S44" s="47" t="s">
        <v>37</v>
      </c>
      <c r="T44" s="52" t="n">
        <f aca="false">IF(S44="IGST",ROUND(Q44*R44,2),0)</f>
        <v>108</v>
      </c>
      <c r="U44" s="52" t="n">
        <f aca="false">IF(S44="CGST+SGST",ROUND(Q44*R44/2,2),0)</f>
        <v>0</v>
      </c>
      <c r="V44" s="52" t="n">
        <f aca="false">U44</f>
        <v>0</v>
      </c>
      <c r="W44" s="51" t="n">
        <v>0</v>
      </c>
      <c r="X44" s="52" t="n">
        <f aca="false">Q44+T44+U44+V44+W44</f>
        <v>708</v>
      </c>
      <c r="Y44" s="52" t="n">
        <f aca="false">ROUND(Q44*AT44,0)</f>
        <v>12</v>
      </c>
      <c r="Z44" s="52" t="n">
        <f aca="false">X44-Y44</f>
        <v>696</v>
      </c>
      <c r="AA44" s="47"/>
      <c r="AB44" s="47"/>
      <c r="AC44" s="47"/>
      <c r="AD44" s="47" t="s">
        <v>137</v>
      </c>
      <c r="AE44" s="47" t="s">
        <v>176</v>
      </c>
      <c r="AF44" s="47" t="s">
        <v>177</v>
      </c>
      <c r="AG44" s="47" t="s">
        <v>276</v>
      </c>
      <c r="AH44" s="48" t="n">
        <v>45217</v>
      </c>
      <c r="AI44" s="47"/>
      <c r="AJ44" s="47"/>
      <c r="AK44" s="47" t="s">
        <v>277</v>
      </c>
      <c r="AL44" s="47" t="s">
        <v>278</v>
      </c>
      <c r="AM44" s="47" t="s">
        <v>279</v>
      </c>
      <c r="AN44" s="47"/>
      <c r="AO44" s="47"/>
      <c r="AP44" s="47"/>
      <c r="AQ44" s="47"/>
      <c r="AR44" s="47" t="s">
        <v>280</v>
      </c>
      <c r="AS44" s="47" t="s">
        <v>281</v>
      </c>
      <c r="AT44" s="54" t="n">
        <v>0.02</v>
      </c>
    </row>
    <row r="45" customFormat="false" ht="14.25" hidden="false" customHeight="true" outlineLevel="0" collapsed="false">
      <c r="A45" s="47" t="n">
        <v>41</v>
      </c>
      <c r="B45" s="47" t="s">
        <v>270</v>
      </c>
      <c r="C45" s="47" t="s">
        <v>271</v>
      </c>
      <c r="D45" s="48" t="n">
        <v>46275</v>
      </c>
      <c r="E45" s="49" t="n">
        <f aca="false">YEAR(D45)</f>
        <v>2026</v>
      </c>
      <c r="F45" s="50" t="str">
        <f aca="false">TEXT(D45,"mmm")</f>
        <v>Sep</v>
      </c>
      <c r="G45" s="47" t="s">
        <v>272</v>
      </c>
      <c r="H45" s="47" t="s">
        <v>273</v>
      </c>
      <c r="I45" s="47"/>
      <c r="J45" s="47" t="s">
        <v>289</v>
      </c>
      <c r="K45" s="47" t="s">
        <v>275</v>
      </c>
      <c r="L45" s="47"/>
      <c r="M45" s="47" t="n">
        <v>1</v>
      </c>
      <c r="N45" s="47" t="s">
        <v>232</v>
      </c>
      <c r="O45" s="51" t="n">
        <v>300</v>
      </c>
      <c r="P45" s="51" t="n">
        <v>0</v>
      </c>
      <c r="Q45" s="52" t="n">
        <f aca="false">M45*O45-P45</f>
        <v>300</v>
      </c>
      <c r="R45" s="53" t="n">
        <v>0.18</v>
      </c>
      <c r="S45" s="47" t="s">
        <v>37</v>
      </c>
      <c r="T45" s="52" t="n">
        <f aca="false">IF(S45="IGST",ROUND(Q45*R45,2),0)</f>
        <v>54</v>
      </c>
      <c r="U45" s="52" t="n">
        <f aca="false">IF(S45="CGST+SGST",ROUND(Q45*R45/2,2),0)</f>
        <v>0</v>
      </c>
      <c r="V45" s="52" t="n">
        <f aca="false">U45</f>
        <v>0</v>
      </c>
      <c r="W45" s="51" t="n">
        <v>0</v>
      </c>
      <c r="X45" s="52" t="n">
        <f aca="false">Q45+T45+U45+V45+W45</f>
        <v>354</v>
      </c>
      <c r="Y45" s="52" t="n">
        <f aca="false">ROUND(Q45*AT45,0)</f>
        <v>6</v>
      </c>
      <c r="Z45" s="52" t="n">
        <f aca="false">X45-Y45</f>
        <v>348</v>
      </c>
      <c r="AA45" s="47"/>
      <c r="AB45" s="47"/>
      <c r="AC45" s="47"/>
      <c r="AD45" s="47" t="s">
        <v>137</v>
      </c>
      <c r="AE45" s="47" t="s">
        <v>176</v>
      </c>
      <c r="AF45" s="47" t="s">
        <v>177</v>
      </c>
      <c r="AG45" s="47" t="s">
        <v>276</v>
      </c>
      <c r="AH45" s="48" t="n">
        <v>45217</v>
      </c>
      <c r="AI45" s="47"/>
      <c r="AJ45" s="47"/>
      <c r="AK45" s="47" t="s">
        <v>277</v>
      </c>
      <c r="AL45" s="47" t="s">
        <v>278</v>
      </c>
      <c r="AM45" s="47" t="s">
        <v>279</v>
      </c>
      <c r="AN45" s="47"/>
      <c r="AO45" s="47"/>
      <c r="AP45" s="47"/>
      <c r="AQ45" s="47"/>
      <c r="AR45" s="47" t="s">
        <v>280</v>
      </c>
      <c r="AS45" s="47" t="s">
        <v>281</v>
      </c>
      <c r="AT45" s="54" t="n">
        <v>0.02</v>
      </c>
    </row>
    <row r="46" customFormat="false" ht="14.25" hidden="false" customHeight="true" outlineLevel="0" collapsed="false">
      <c r="A46" s="47" t="n">
        <v>42</v>
      </c>
      <c r="B46" s="47" t="s">
        <v>270</v>
      </c>
      <c r="C46" s="47" t="s">
        <v>271</v>
      </c>
      <c r="D46" s="48" t="n">
        <v>46275</v>
      </c>
      <c r="E46" s="49" t="n">
        <f aca="false">YEAR(D46)</f>
        <v>2026</v>
      </c>
      <c r="F46" s="50" t="str">
        <f aca="false">TEXT(D46,"mmm")</f>
        <v>Sep</v>
      </c>
      <c r="G46" s="47" t="s">
        <v>272</v>
      </c>
      <c r="H46" s="47" t="s">
        <v>273</v>
      </c>
      <c r="I46" s="47"/>
      <c r="J46" s="47" t="s">
        <v>290</v>
      </c>
      <c r="K46" s="47" t="s">
        <v>275</v>
      </c>
      <c r="L46" s="47"/>
      <c r="M46" s="47" t="n">
        <v>1</v>
      </c>
      <c r="N46" s="47" t="s">
        <v>232</v>
      </c>
      <c r="O46" s="51" t="n">
        <v>600</v>
      </c>
      <c r="P46" s="51" t="n">
        <v>0</v>
      </c>
      <c r="Q46" s="52" t="n">
        <f aca="false">M46*O46-P46</f>
        <v>600</v>
      </c>
      <c r="R46" s="53" t="n">
        <v>0.18</v>
      </c>
      <c r="S46" s="47" t="s">
        <v>37</v>
      </c>
      <c r="T46" s="52" t="n">
        <f aca="false">IF(S46="IGST",ROUND(Q46*R46,2),0)</f>
        <v>108</v>
      </c>
      <c r="U46" s="52" t="n">
        <f aca="false">IF(S46="CGST+SGST",ROUND(Q46*R46/2,2),0)</f>
        <v>0</v>
      </c>
      <c r="V46" s="52" t="n">
        <f aca="false">U46</f>
        <v>0</v>
      </c>
      <c r="W46" s="51" t="n">
        <v>0</v>
      </c>
      <c r="X46" s="52" t="n">
        <f aca="false">Q46+T46+U46+V46+W46</f>
        <v>708</v>
      </c>
      <c r="Y46" s="52" t="n">
        <f aca="false">ROUND(Q46*AT46,0)</f>
        <v>12</v>
      </c>
      <c r="Z46" s="52" t="n">
        <f aca="false">X46-Y46</f>
        <v>696</v>
      </c>
      <c r="AA46" s="47"/>
      <c r="AB46" s="47"/>
      <c r="AC46" s="47"/>
      <c r="AD46" s="47" t="s">
        <v>137</v>
      </c>
      <c r="AE46" s="47" t="s">
        <v>176</v>
      </c>
      <c r="AF46" s="47" t="s">
        <v>177</v>
      </c>
      <c r="AG46" s="47" t="s">
        <v>276</v>
      </c>
      <c r="AH46" s="48" t="n">
        <v>45217</v>
      </c>
      <c r="AI46" s="47"/>
      <c r="AJ46" s="47"/>
      <c r="AK46" s="47" t="s">
        <v>277</v>
      </c>
      <c r="AL46" s="47" t="s">
        <v>278</v>
      </c>
      <c r="AM46" s="47" t="s">
        <v>279</v>
      </c>
      <c r="AN46" s="47"/>
      <c r="AO46" s="47"/>
      <c r="AP46" s="47"/>
      <c r="AQ46" s="47"/>
      <c r="AR46" s="47" t="s">
        <v>280</v>
      </c>
      <c r="AS46" s="47" t="s">
        <v>281</v>
      </c>
      <c r="AT46" s="54" t="n">
        <v>0.02</v>
      </c>
    </row>
    <row r="47" customFormat="false" ht="14.25" hidden="false" customHeight="true" outlineLevel="0" collapsed="false">
      <c r="A47" s="47" t="n">
        <v>43</v>
      </c>
      <c r="B47" s="47" t="s">
        <v>270</v>
      </c>
      <c r="C47" s="47" t="s">
        <v>271</v>
      </c>
      <c r="D47" s="48" t="n">
        <v>46275</v>
      </c>
      <c r="E47" s="49" t="n">
        <f aca="false">YEAR(D47)</f>
        <v>2026</v>
      </c>
      <c r="F47" s="50" t="str">
        <f aca="false">TEXT(D47,"mmm")</f>
        <v>Sep</v>
      </c>
      <c r="G47" s="47" t="s">
        <v>272</v>
      </c>
      <c r="H47" s="47" t="s">
        <v>273</v>
      </c>
      <c r="I47" s="47"/>
      <c r="J47" s="47" t="s">
        <v>291</v>
      </c>
      <c r="K47" s="47" t="s">
        <v>275</v>
      </c>
      <c r="L47" s="47"/>
      <c r="M47" s="47" t="n">
        <v>1</v>
      </c>
      <c r="N47" s="47" t="s">
        <v>232</v>
      </c>
      <c r="O47" s="51" t="n">
        <v>900</v>
      </c>
      <c r="P47" s="51" t="n">
        <v>0</v>
      </c>
      <c r="Q47" s="52" t="n">
        <f aca="false">M47*O47-P47</f>
        <v>900</v>
      </c>
      <c r="R47" s="53" t="n">
        <v>0.18</v>
      </c>
      <c r="S47" s="47" t="s">
        <v>37</v>
      </c>
      <c r="T47" s="52" t="n">
        <f aca="false">IF(S47="IGST",ROUND(Q47*R47,2),0)</f>
        <v>162</v>
      </c>
      <c r="U47" s="52" t="n">
        <f aca="false">IF(S47="CGST+SGST",ROUND(Q47*R47/2,2),0)</f>
        <v>0</v>
      </c>
      <c r="V47" s="52" t="n">
        <f aca="false">U47</f>
        <v>0</v>
      </c>
      <c r="W47" s="51" t="n">
        <v>0</v>
      </c>
      <c r="X47" s="52" t="n">
        <f aca="false">Q47+T47+U47+V47+W47</f>
        <v>1062</v>
      </c>
      <c r="Y47" s="52" t="n">
        <f aca="false">ROUND(Q47*AT47,0)</f>
        <v>18</v>
      </c>
      <c r="Z47" s="52" t="n">
        <f aca="false">X47-Y47</f>
        <v>1044</v>
      </c>
      <c r="AA47" s="47"/>
      <c r="AB47" s="47"/>
      <c r="AC47" s="47"/>
      <c r="AD47" s="47" t="s">
        <v>137</v>
      </c>
      <c r="AE47" s="47" t="s">
        <v>176</v>
      </c>
      <c r="AF47" s="47" t="s">
        <v>177</v>
      </c>
      <c r="AG47" s="47" t="s">
        <v>276</v>
      </c>
      <c r="AH47" s="48" t="n">
        <v>45217</v>
      </c>
      <c r="AI47" s="47"/>
      <c r="AJ47" s="47"/>
      <c r="AK47" s="47" t="s">
        <v>277</v>
      </c>
      <c r="AL47" s="47" t="s">
        <v>278</v>
      </c>
      <c r="AM47" s="47" t="s">
        <v>279</v>
      </c>
      <c r="AN47" s="47"/>
      <c r="AO47" s="47"/>
      <c r="AP47" s="47"/>
      <c r="AQ47" s="47"/>
      <c r="AR47" s="47" t="s">
        <v>280</v>
      </c>
      <c r="AS47" s="47" t="s">
        <v>281</v>
      </c>
      <c r="AT47" s="54" t="n">
        <v>0.02</v>
      </c>
    </row>
    <row r="48" customFormat="false" ht="14.25" hidden="false" customHeight="true" outlineLevel="0" collapsed="false">
      <c r="A48" s="47" t="n">
        <v>44</v>
      </c>
      <c r="B48" s="47" t="s">
        <v>292</v>
      </c>
      <c r="C48" s="47" t="s">
        <v>293</v>
      </c>
      <c r="D48" s="48" t="n">
        <v>46274</v>
      </c>
      <c r="E48" s="49" t="n">
        <f aca="false">YEAR(D48)</f>
        <v>2026</v>
      </c>
      <c r="F48" s="50" t="str">
        <f aca="false">TEXT(D48,"mmm")</f>
        <v>Sep</v>
      </c>
      <c r="G48" s="47" t="s">
        <v>294</v>
      </c>
      <c r="H48" s="47" t="s">
        <v>295</v>
      </c>
      <c r="I48" s="47"/>
      <c r="J48" s="47" t="s">
        <v>296</v>
      </c>
      <c r="K48" s="47" t="s">
        <v>297</v>
      </c>
      <c r="L48" s="47"/>
      <c r="M48" s="47" t="n">
        <v>1</v>
      </c>
      <c r="N48" s="47" t="s">
        <v>171</v>
      </c>
      <c r="O48" s="51" t="n">
        <v>65</v>
      </c>
      <c r="P48" s="51" t="n">
        <v>0</v>
      </c>
      <c r="Q48" s="52" t="n">
        <f aca="false">M48*O48-P48</f>
        <v>65</v>
      </c>
      <c r="R48" s="53" t="n">
        <v>0.18</v>
      </c>
      <c r="S48" s="47" t="s">
        <v>39</v>
      </c>
      <c r="T48" s="52" t="n">
        <f aca="false">IF(S48="IGST",ROUND(Q48*R48,2),0)</f>
        <v>0</v>
      </c>
      <c r="U48" s="52" t="n">
        <f aca="false">IF(S48="CGST+SGST",ROUND(Q48*R48/2,2),0)</f>
        <v>5.85</v>
      </c>
      <c r="V48" s="52" t="n">
        <f aca="false">U48</f>
        <v>5.85</v>
      </c>
      <c r="W48" s="51" t="n">
        <v>0.3</v>
      </c>
      <c r="X48" s="52" t="n">
        <f aca="false">Q48+T48+U48+V48+W48</f>
        <v>77</v>
      </c>
      <c r="Y48" s="52" t="n">
        <f aca="false">ROUND(Q48*AT48,0)</f>
        <v>1</v>
      </c>
      <c r="Z48" s="52" t="n">
        <f aca="false">X48-Y48</f>
        <v>76</v>
      </c>
      <c r="AA48" s="47"/>
      <c r="AB48" s="47"/>
      <c r="AC48" s="47"/>
      <c r="AD48" s="47" t="s">
        <v>298</v>
      </c>
      <c r="AE48" s="47" t="s">
        <v>299</v>
      </c>
      <c r="AF48" s="47" t="s">
        <v>298</v>
      </c>
      <c r="AG48" s="47"/>
      <c r="AH48" s="48"/>
      <c r="AI48" s="47"/>
      <c r="AJ48" s="47"/>
      <c r="AK48" s="47" t="s">
        <v>300</v>
      </c>
      <c r="AL48" s="47"/>
      <c r="AM48" s="47"/>
      <c r="AN48" s="47"/>
      <c r="AO48" s="47"/>
      <c r="AP48" s="47"/>
      <c r="AQ48" s="47"/>
      <c r="AR48" s="47" t="s">
        <v>301</v>
      </c>
      <c r="AS48" s="47" t="s">
        <v>203</v>
      </c>
      <c r="AT48" s="54" t="n">
        <v>0.02</v>
      </c>
    </row>
    <row r="49" customFormat="false" ht="14.25" hidden="false" customHeight="true" outlineLevel="0" collapsed="false">
      <c r="A49" s="47" t="n">
        <v>45</v>
      </c>
      <c r="B49" s="47" t="s">
        <v>302</v>
      </c>
      <c r="C49" s="47" t="s">
        <v>303</v>
      </c>
      <c r="D49" s="48" t="n">
        <v>46274</v>
      </c>
      <c r="E49" s="49" t="n">
        <f aca="false">YEAR(D49)</f>
        <v>2026</v>
      </c>
      <c r="F49" s="50" t="str">
        <f aca="false">TEXT(D49,"mmm")</f>
        <v>Sep</v>
      </c>
      <c r="G49" s="47" t="s">
        <v>294</v>
      </c>
      <c r="H49" s="47" t="s">
        <v>295</v>
      </c>
      <c r="I49" s="47"/>
      <c r="J49" s="47" t="s">
        <v>304</v>
      </c>
      <c r="K49" s="47" t="s">
        <v>297</v>
      </c>
      <c r="L49" s="47"/>
      <c r="M49" s="47" t="n">
        <v>1</v>
      </c>
      <c r="N49" s="47" t="s">
        <v>171</v>
      </c>
      <c r="O49" s="51" t="n">
        <v>11629</v>
      </c>
      <c r="P49" s="51" t="n">
        <v>0</v>
      </c>
      <c r="Q49" s="52" t="n">
        <f aca="false">M49*O49-P49</f>
        <v>11629</v>
      </c>
      <c r="R49" s="53" t="n">
        <v>0.18</v>
      </c>
      <c r="S49" s="47" t="s">
        <v>39</v>
      </c>
      <c r="T49" s="52" t="n">
        <f aca="false">IF(S49="IGST",ROUND(Q49*R49,2),0)</f>
        <v>0</v>
      </c>
      <c r="U49" s="52" t="n">
        <f aca="false">IF(S49="CGST+SGST",ROUND(Q49*R49/2,2),0)</f>
        <v>1046.61</v>
      </c>
      <c r="V49" s="52" t="n">
        <f aca="false">U49</f>
        <v>1046.61</v>
      </c>
      <c r="W49" s="51" t="n">
        <v>0.78</v>
      </c>
      <c r="X49" s="52" t="n">
        <f aca="false">Q49+T49+U49+V49+W49</f>
        <v>13723</v>
      </c>
      <c r="Y49" s="52" t="n">
        <f aca="false">ROUND(Q49*AT49,0)</f>
        <v>233</v>
      </c>
      <c r="Z49" s="52" t="n">
        <f aca="false">X49-Y49</f>
        <v>13490</v>
      </c>
      <c r="AA49" s="47"/>
      <c r="AB49" s="47"/>
      <c r="AC49" s="47"/>
      <c r="AD49" s="47" t="s">
        <v>298</v>
      </c>
      <c r="AE49" s="47" t="s">
        <v>299</v>
      </c>
      <c r="AF49" s="47" t="s">
        <v>298</v>
      </c>
      <c r="AG49" s="47"/>
      <c r="AH49" s="48"/>
      <c r="AI49" s="47"/>
      <c r="AJ49" s="47"/>
      <c r="AK49" s="47" t="s">
        <v>305</v>
      </c>
      <c r="AL49" s="47"/>
      <c r="AM49" s="47"/>
      <c r="AN49" s="47"/>
      <c r="AO49" s="47"/>
      <c r="AP49" s="47"/>
      <c r="AQ49" s="47"/>
      <c r="AR49" s="47" t="s">
        <v>301</v>
      </c>
      <c r="AS49" s="47" t="s">
        <v>203</v>
      </c>
      <c r="AT49" s="54" t="n">
        <v>0.02</v>
      </c>
    </row>
    <row r="50" customFormat="false" ht="14.25" hidden="false" customHeight="true" outlineLevel="0" collapsed="false">
      <c r="A50" s="47" t="n">
        <v>46</v>
      </c>
      <c r="B50" s="47" t="s">
        <v>306</v>
      </c>
      <c r="C50" s="47" t="s">
        <v>307</v>
      </c>
      <c r="D50" s="48" t="n">
        <v>46265</v>
      </c>
      <c r="E50" s="49" t="n">
        <f aca="false">YEAR(D50)</f>
        <v>2026</v>
      </c>
      <c r="F50" s="50" t="str">
        <f aca="false">TEXT(D50,"mmm")</f>
        <v>Aug</v>
      </c>
      <c r="G50" s="47" t="s">
        <v>308</v>
      </c>
      <c r="H50" s="47" t="s">
        <v>309</v>
      </c>
      <c r="I50" s="47"/>
      <c r="J50" s="47" t="s">
        <v>310</v>
      </c>
      <c r="K50" s="47" t="s">
        <v>311</v>
      </c>
      <c r="L50" s="47"/>
      <c r="M50" s="47" t="n">
        <v>1</v>
      </c>
      <c r="N50" s="47" t="s">
        <v>171</v>
      </c>
      <c r="O50" s="51" t="n">
        <v>26667</v>
      </c>
      <c r="P50" s="51" t="n">
        <v>0</v>
      </c>
      <c r="Q50" s="52" t="n">
        <f aca="false">M50*O50-P50</f>
        <v>26667</v>
      </c>
      <c r="R50" s="53" t="n">
        <v>0.18</v>
      </c>
      <c r="S50" s="47" t="s">
        <v>39</v>
      </c>
      <c r="T50" s="52" t="n">
        <f aca="false">IF(S50="IGST",ROUND(Q50*R50,2),0)</f>
        <v>0</v>
      </c>
      <c r="U50" s="52" t="n">
        <f aca="false">IF(S50="CGST+SGST",ROUND(Q50*R50/2,2),0)</f>
        <v>2400.03</v>
      </c>
      <c r="V50" s="52" t="n">
        <f aca="false">U50</f>
        <v>2400.03</v>
      </c>
      <c r="W50" s="51" t="n">
        <v>-0.06</v>
      </c>
      <c r="X50" s="52" t="n">
        <f aca="false">Q50+T50+U50+V50+W50</f>
        <v>31467</v>
      </c>
      <c r="Y50" s="52" t="n">
        <f aca="false">ROUND(Q50*AT50,0)</f>
        <v>533</v>
      </c>
      <c r="Z50" s="52" t="n">
        <f aca="false">X50-Y50</f>
        <v>30934</v>
      </c>
      <c r="AA50" s="47"/>
      <c r="AB50" s="47"/>
      <c r="AC50" s="47"/>
      <c r="AD50" s="47" t="s">
        <v>298</v>
      </c>
      <c r="AE50" s="47" t="s">
        <v>299</v>
      </c>
      <c r="AF50" s="47" t="s">
        <v>298</v>
      </c>
      <c r="AG50" s="47"/>
      <c r="AH50" s="48"/>
      <c r="AI50" s="47"/>
      <c r="AJ50" s="47"/>
      <c r="AK50" s="47"/>
      <c r="AL50" s="47"/>
      <c r="AM50" s="47"/>
      <c r="AN50" s="47"/>
      <c r="AO50" s="47"/>
      <c r="AP50" s="47"/>
      <c r="AQ50" s="47"/>
      <c r="AR50" s="47" t="s">
        <v>312</v>
      </c>
      <c r="AS50" s="47" t="s">
        <v>203</v>
      </c>
      <c r="AT50" s="54" t="n">
        <v>0.02</v>
      </c>
    </row>
    <row r="51" customFormat="false" ht="14.25" hidden="false" customHeight="true" outlineLevel="0" collapsed="false">
      <c r="A51" s="47" t="n">
        <v>47</v>
      </c>
      <c r="B51" s="47" t="s">
        <v>313</v>
      </c>
      <c r="C51" s="47" t="s">
        <v>314</v>
      </c>
      <c r="D51" s="48" t="n">
        <v>46274</v>
      </c>
      <c r="E51" s="49" t="n">
        <f aca="false">YEAR(D51)</f>
        <v>2026</v>
      </c>
      <c r="F51" s="50" t="str">
        <f aca="false">TEXT(D51,"mmm")</f>
        <v>Sep</v>
      </c>
      <c r="G51" s="47" t="s">
        <v>308</v>
      </c>
      <c r="H51" s="47" t="s">
        <v>309</v>
      </c>
      <c r="I51" s="47"/>
      <c r="J51" s="47" t="s">
        <v>315</v>
      </c>
      <c r="K51" s="47"/>
      <c r="L51" s="47"/>
      <c r="M51" s="47" t="n">
        <v>1</v>
      </c>
      <c r="N51" s="47" t="s">
        <v>171</v>
      </c>
      <c r="O51" s="51" t="n">
        <v>2041</v>
      </c>
      <c r="P51" s="51" t="n">
        <v>0</v>
      </c>
      <c r="Q51" s="52" t="n">
        <f aca="false">M51*O51-P51</f>
        <v>2041</v>
      </c>
      <c r="R51" s="53" t="n">
        <v>0</v>
      </c>
      <c r="S51" s="47" t="s">
        <v>316</v>
      </c>
      <c r="T51" s="52" t="n">
        <f aca="false">IF(S51="IGST",ROUND(Q51*R51,2),0)</f>
        <v>0</v>
      </c>
      <c r="U51" s="52" t="n">
        <f aca="false">IF(S51="CGST+SGST",ROUND(Q51*R51/2,2),0)</f>
        <v>0</v>
      </c>
      <c r="V51" s="52" t="n">
        <f aca="false">U51</f>
        <v>0</v>
      </c>
      <c r="W51" s="51" t="n">
        <v>0</v>
      </c>
      <c r="X51" s="52" t="n">
        <f aca="false">Q51+T51+U51+V51+W51</f>
        <v>2041</v>
      </c>
      <c r="Y51" s="52" t="n">
        <f aca="false">ROUND(Q51*AT51,0)</f>
        <v>0</v>
      </c>
      <c r="Z51" s="52" t="n">
        <f aca="false">X51-Y51</f>
        <v>2041</v>
      </c>
      <c r="AA51" s="47"/>
      <c r="AB51" s="47"/>
      <c r="AC51" s="47"/>
      <c r="AD51" s="47" t="s">
        <v>298</v>
      </c>
      <c r="AE51" s="47"/>
      <c r="AF51" s="47" t="s">
        <v>298</v>
      </c>
      <c r="AG51" s="47"/>
      <c r="AH51" s="48"/>
      <c r="AI51" s="47"/>
      <c r="AJ51" s="47" t="s">
        <v>317</v>
      </c>
      <c r="AK51" s="47"/>
      <c r="AL51" s="47"/>
      <c r="AM51" s="47"/>
      <c r="AN51" s="47"/>
      <c r="AO51" s="47"/>
      <c r="AP51" s="47"/>
      <c r="AQ51" s="47"/>
      <c r="AR51" s="47" t="s">
        <v>318</v>
      </c>
      <c r="AS51" s="47" t="s">
        <v>319</v>
      </c>
      <c r="AT51" s="54" t="n">
        <v>0</v>
      </c>
    </row>
    <row r="52" customFormat="false" ht="14.25" hidden="false" customHeight="true" outlineLevel="0" collapsed="false">
      <c r="A52" s="47" t="n">
        <v>48</v>
      </c>
      <c r="B52" s="47" t="s">
        <v>313</v>
      </c>
      <c r="C52" s="47" t="s">
        <v>314</v>
      </c>
      <c r="D52" s="48" t="n">
        <v>46274</v>
      </c>
      <c r="E52" s="49" t="n">
        <f aca="false">YEAR(D52)</f>
        <v>2026</v>
      </c>
      <c r="F52" s="50" t="str">
        <f aca="false">TEXT(D52,"mmm")</f>
        <v>Sep</v>
      </c>
      <c r="G52" s="47" t="s">
        <v>308</v>
      </c>
      <c r="H52" s="47" t="s">
        <v>309</v>
      </c>
      <c r="I52" s="47"/>
      <c r="J52" s="47" t="s">
        <v>320</v>
      </c>
      <c r="K52" s="47"/>
      <c r="L52" s="47"/>
      <c r="M52" s="47" t="n">
        <v>1</v>
      </c>
      <c r="N52" s="47" t="s">
        <v>171</v>
      </c>
      <c r="O52" s="51" t="n">
        <v>18180</v>
      </c>
      <c r="P52" s="51" t="n">
        <v>0</v>
      </c>
      <c r="Q52" s="52" t="n">
        <f aca="false">M52*O52-P52</f>
        <v>18180</v>
      </c>
      <c r="R52" s="53" t="n">
        <v>0</v>
      </c>
      <c r="S52" s="47" t="s">
        <v>316</v>
      </c>
      <c r="T52" s="52" t="n">
        <f aca="false">IF(S52="IGST",ROUND(Q52*R52,2),0)</f>
        <v>0</v>
      </c>
      <c r="U52" s="52" t="n">
        <f aca="false">IF(S52="CGST+SGST",ROUND(Q52*R52/2,2),0)</f>
        <v>0</v>
      </c>
      <c r="V52" s="52" t="n">
        <f aca="false">U52</f>
        <v>0</v>
      </c>
      <c r="W52" s="51" t="n">
        <v>0</v>
      </c>
      <c r="X52" s="52" t="n">
        <f aca="false">Q52+T52+U52+V52+W52</f>
        <v>18180</v>
      </c>
      <c r="Y52" s="52" t="n">
        <f aca="false">ROUND(Q52*AT52,0)</f>
        <v>0</v>
      </c>
      <c r="Z52" s="52" t="n">
        <f aca="false">X52-Y52</f>
        <v>18180</v>
      </c>
      <c r="AA52" s="47"/>
      <c r="AB52" s="47"/>
      <c r="AC52" s="47"/>
      <c r="AD52" s="47" t="s">
        <v>298</v>
      </c>
      <c r="AE52" s="47"/>
      <c r="AF52" s="47" t="s">
        <v>298</v>
      </c>
      <c r="AG52" s="47"/>
      <c r="AH52" s="48"/>
      <c r="AI52" s="47"/>
      <c r="AJ52" s="47" t="s">
        <v>317</v>
      </c>
      <c r="AK52" s="47"/>
      <c r="AL52" s="47"/>
      <c r="AM52" s="47"/>
      <c r="AN52" s="47"/>
      <c r="AO52" s="47"/>
      <c r="AP52" s="47"/>
      <c r="AQ52" s="47"/>
      <c r="AR52" s="47" t="s">
        <v>318</v>
      </c>
      <c r="AS52" s="47" t="s">
        <v>319</v>
      </c>
      <c r="AT52" s="54" t="n">
        <v>0</v>
      </c>
    </row>
    <row r="53" customFormat="false" ht="14.25" hidden="false" customHeight="true" outlineLevel="0" collapsed="false">
      <c r="A53" s="47" t="n">
        <v>49</v>
      </c>
      <c r="B53" s="47" t="s">
        <v>313</v>
      </c>
      <c r="C53" s="47" t="s">
        <v>314</v>
      </c>
      <c r="D53" s="48" t="n">
        <v>46274</v>
      </c>
      <c r="E53" s="49" t="n">
        <f aca="false">YEAR(D53)</f>
        <v>2026</v>
      </c>
      <c r="F53" s="50" t="str">
        <f aca="false">TEXT(D53,"mmm")</f>
        <v>Sep</v>
      </c>
      <c r="G53" s="47" t="s">
        <v>308</v>
      </c>
      <c r="H53" s="47" t="s">
        <v>309</v>
      </c>
      <c r="I53" s="47"/>
      <c r="J53" s="47" t="s">
        <v>321</v>
      </c>
      <c r="K53" s="47"/>
      <c r="L53" s="47"/>
      <c r="M53" s="47" t="n">
        <v>1</v>
      </c>
      <c r="N53" s="47" t="s">
        <v>171</v>
      </c>
      <c r="O53" s="51" t="n">
        <v>1632</v>
      </c>
      <c r="P53" s="51" t="n">
        <v>0</v>
      </c>
      <c r="Q53" s="52" t="n">
        <f aca="false">M53*O53-P53</f>
        <v>1632</v>
      </c>
      <c r="R53" s="53" t="n">
        <v>0</v>
      </c>
      <c r="S53" s="47" t="s">
        <v>316</v>
      </c>
      <c r="T53" s="52" t="n">
        <f aca="false">IF(S53="IGST",ROUND(Q53*R53,2),0)</f>
        <v>0</v>
      </c>
      <c r="U53" s="52" t="n">
        <f aca="false">IF(S53="CGST+SGST",ROUND(Q53*R53/2,2),0)</f>
        <v>0</v>
      </c>
      <c r="V53" s="52" t="n">
        <f aca="false">U53</f>
        <v>0</v>
      </c>
      <c r="W53" s="51" t="n">
        <v>0</v>
      </c>
      <c r="X53" s="52" t="n">
        <f aca="false">Q53+T53+U53+V53+W53</f>
        <v>1632</v>
      </c>
      <c r="Y53" s="52" t="n">
        <f aca="false">ROUND(Q53*AT53,0)</f>
        <v>0</v>
      </c>
      <c r="Z53" s="52" t="n">
        <f aca="false">X53-Y53</f>
        <v>1632</v>
      </c>
      <c r="AA53" s="47"/>
      <c r="AB53" s="47"/>
      <c r="AC53" s="47"/>
      <c r="AD53" s="47" t="s">
        <v>298</v>
      </c>
      <c r="AE53" s="47"/>
      <c r="AF53" s="47" t="s">
        <v>298</v>
      </c>
      <c r="AG53" s="47"/>
      <c r="AH53" s="48"/>
      <c r="AI53" s="47"/>
      <c r="AJ53" s="47" t="s">
        <v>317</v>
      </c>
      <c r="AK53" s="47"/>
      <c r="AL53" s="47"/>
      <c r="AM53" s="47"/>
      <c r="AN53" s="47"/>
      <c r="AO53" s="47"/>
      <c r="AP53" s="47"/>
      <c r="AQ53" s="47"/>
      <c r="AR53" s="47" t="s">
        <v>318</v>
      </c>
      <c r="AS53" s="47" t="s">
        <v>319</v>
      </c>
      <c r="AT53" s="54" t="n">
        <v>0</v>
      </c>
    </row>
    <row r="54" customFormat="false" ht="14.25" hidden="false" customHeight="true" outlineLevel="0" collapsed="false">
      <c r="A54" s="47" t="n">
        <v>50</v>
      </c>
      <c r="B54" s="47" t="s">
        <v>313</v>
      </c>
      <c r="C54" s="47" t="s">
        <v>314</v>
      </c>
      <c r="D54" s="48" t="n">
        <v>46274</v>
      </c>
      <c r="E54" s="49" t="n">
        <f aca="false">YEAR(D54)</f>
        <v>2026</v>
      </c>
      <c r="F54" s="50" t="str">
        <f aca="false">TEXT(D54,"mmm")</f>
        <v>Sep</v>
      </c>
      <c r="G54" s="47" t="s">
        <v>308</v>
      </c>
      <c r="H54" s="47" t="s">
        <v>309</v>
      </c>
      <c r="I54" s="47"/>
      <c r="J54" s="47" t="s">
        <v>322</v>
      </c>
      <c r="K54" s="47"/>
      <c r="L54" s="47"/>
      <c r="M54" s="47" t="n">
        <v>1</v>
      </c>
      <c r="N54" s="47" t="s">
        <v>171</v>
      </c>
      <c r="O54" s="51" t="n">
        <v>4000</v>
      </c>
      <c r="P54" s="51" t="n">
        <v>0</v>
      </c>
      <c r="Q54" s="52" t="n">
        <f aca="false">M54*O54-P54</f>
        <v>4000</v>
      </c>
      <c r="R54" s="53" t="n">
        <v>0</v>
      </c>
      <c r="S54" s="47" t="s">
        <v>316</v>
      </c>
      <c r="T54" s="52" t="n">
        <f aca="false">IF(S54="IGST",ROUND(Q54*R54,2),0)</f>
        <v>0</v>
      </c>
      <c r="U54" s="52" t="n">
        <f aca="false">IF(S54="CGST+SGST",ROUND(Q54*R54/2,2),0)</f>
        <v>0</v>
      </c>
      <c r="V54" s="52" t="n">
        <f aca="false">U54</f>
        <v>0</v>
      </c>
      <c r="W54" s="51" t="n">
        <v>-1</v>
      </c>
      <c r="X54" s="52" t="n">
        <f aca="false">Q54+T54+U54+V54+W54</f>
        <v>3999</v>
      </c>
      <c r="Y54" s="52" t="n">
        <f aca="false">ROUND(Q54*AT54,0)</f>
        <v>0</v>
      </c>
      <c r="Z54" s="52" t="n">
        <f aca="false">X54-Y54</f>
        <v>3999</v>
      </c>
      <c r="AA54" s="47"/>
      <c r="AB54" s="47"/>
      <c r="AC54" s="47"/>
      <c r="AD54" s="47" t="s">
        <v>298</v>
      </c>
      <c r="AE54" s="47"/>
      <c r="AF54" s="47" t="s">
        <v>298</v>
      </c>
      <c r="AG54" s="47"/>
      <c r="AH54" s="48"/>
      <c r="AI54" s="47"/>
      <c r="AJ54" s="47" t="s">
        <v>317</v>
      </c>
      <c r="AK54" s="47"/>
      <c r="AL54" s="47"/>
      <c r="AM54" s="47"/>
      <c r="AN54" s="47"/>
      <c r="AO54" s="47"/>
      <c r="AP54" s="47"/>
      <c r="AQ54" s="47"/>
      <c r="AR54" s="47" t="s">
        <v>318</v>
      </c>
      <c r="AS54" s="47" t="s">
        <v>319</v>
      </c>
      <c r="AT54" s="54" t="n">
        <v>0</v>
      </c>
    </row>
    <row r="55" customFormat="false" ht="14.25" hidden="false" customHeight="true" outlineLevel="0" collapsed="false">
      <c r="A55" s="47" t="n">
        <v>51</v>
      </c>
      <c r="B55" s="47" t="s">
        <v>323</v>
      </c>
      <c r="C55" s="47" t="s">
        <v>324</v>
      </c>
      <c r="D55" s="48" t="n">
        <v>46144</v>
      </c>
      <c r="E55" s="49" t="n">
        <f aca="false">YEAR(D55)</f>
        <v>2026</v>
      </c>
      <c r="F55" s="50" t="str">
        <f aca="false">TEXT(D55,"mmm")</f>
        <v>May</v>
      </c>
      <c r="G55" s="47" t="s">
        <v>25</v>
      </c>
      <c r="H55" s="47" t="s">
        <v>325</v>
      </c>
      <c r="I55" s="47"/>
      <c r="J55" s="47" t="s">
        <v>326</v>
      </c>
      <c r="K55" s="47" t="s">
        <v>222</v>
      </c>
      <c r="L55" s="47"/>
      <c r="M55" s="47" t="n">
        <v>1</v>
      </c>
      <c r="N55" s="47" t="s">
        <v>171</v>
      </c>
      <c r="O55" s="51" t="n">
        <v>382579</v>
      </c>
      <c r="P55" s="51" t="n">
        <v>0</v>
      </c>
      <c r="Q55" s="52" t="n">
        <f aca="false">M55*O55-P55</f>
        <v>382579</v>
      </c>
      <c r="R55" s="53" t="n">
        <v>0.18</v>
      </c>
      <c r="S55" s="47" t="s">
        <v>39</v>
      </c>
      <c r="T55" s="52" t="n">
        <f aca="false">IF(S55="IGST",ROUND(Q55*R55,2),0)</f>
        <v>0</v>
      </c>
      <c r="U55" s="52" t="n">
        <f aca="false">IF(S55="CGST+SGST",ROUND(Q55*R55/2,2),0)</f>
        <v>34432.11</v>
      </c>
      <c r="V55" s="52" t="n">
        <f aca="false">U55</f>
        <v>34432.11</v>
      </c>
      <c r="W55" s="51" t="n">
        <v>-0.22</v>
      </c>
      <c r="X55" s="52" t="n">
        <f aca="false">Q55+T55+U55+V55+W55</f>
        <v>451443</v>
      </c>
      <c r="Y55" s="52" t="n">
        <f aca="false">ROUND(Q55*AT55,0)</f>
        <v>7652</v>
      </c>
      <c r="Z55" s="52" t="n">
        <f aca="false">X55-Y55</f>
        <v>443791</v>
      </c>
      <c r="AA55" s="47"/>
      <c r="AB55" s="47"/>
      <c r="AC55" s="47"/>
      <c r="AD55" s="47" t="s">
        <v>327</v>
      </c>
      <c r="AE55" s="47" t="s">
        <v>328</v>
      </c>
      <c r="AF55" s="47" t="s">
        <v>327</v>
      </c>
      <c r="AG55" s="47"/>
      <c r="AH55" s="48"/>
      <c r="AI55" s="47"/>
      <c r="AJ55" s="47"/>
      <c r="AK55" s="47" t="s">
        <v>329</v>
      </c>
      <c r="AL55" s="47" t="s">
        <v>330</v>
      </c>
      <c r="AM55" s="47" t="s">
        <v>331</v>
      </c>
      <c r="AN55" s="47"/>
      <c r="AO55" s="47"/>
      <c r="AP55" s="47"/>
      <c r="AQ55" s="47"/>
      <c r="AR55" s="47" t="s">
        <v>312</v>
      </c>
      <c r="AS55" s="47" t="s">
        <v>203</v>
      </c>
      <c r="AT55" s="54" t="n">
        <v>0.02</v>
      </c>
    </row>
    <row r="56" customFormat="false" ht="14.25" hidden="false" customHeight="true" outlineLevel="0" collapsed="false">
      <c r="A56" s="47" t="n">
        <v>52</v>
      </c>
      <c r="B56" s="47" t="s">
        <v>332</v>
      </c>
      <c r="C56" s="47" t="s">
        <v>333</v>
      </c>
      <c r="D56" s="48" t="n">
        <v>46082</v>
      </c>
      <c r="E56" s="49" t="n">
        <f aca="false">YEAR(D56)</f>
        <v>2026</v>
      </c>
      <c r="F56" s="50" t="str">
        <f aca="false">TEXT(D56,"mmm")</f>
        <v>Mar</v>
      </c>
      <c r="G56" s="47" t="s">
        <v>334</v>
      </c>
      <c r="H56" s="47" t="s">
        <v>335</v>
      </c>
      <c r="I56" s="47"/>
      <c r="J56" s="47" t="s">
        <v>336</v>
      </c>
      <c r="K56" s="47" t="s">
        <v>337</v>
      </c>
      <c r="L56" s="47"/>
      <c r="M56" s="47" t="n">
        <v>1</v>
      </c>
      <c r="N56" s="47" t="s">
        <v>171</v>
      </c>
      <c r="O56" s="51" t="n">
        <v>6000</v>
      </c>
      <c r="P56" s="51" t="n">
        <v>0</v>
      </c>
      <c r="Q56" s="52" t="n">
        <f aca="false">M56*O56-P56</f>
        <v>6000</v>
      </c>
      <c r="R56" s="53" t="n">
        <v>0.18</v>
      </c>
      <c r="S56" s="47" t="s">
        <v>37</v>
      </c>
      <c r="T56" s="52" t="n">
        <f aca="false">IF(S56="IGST",ROUND(Q56*R56,2),0)</f>
        <v>1080</v>
      </c>
      <c r="U56" s="52" t="n">
        <f aca="false">IF(S56="CGST+SGST",ROUND(Q56*R56/2,2),0)</f>
        <v>0</v>
      </c>
      <c r="V56" s="52" t="n">
        <f aca="false">U56</f>
        <v>0</v>
      </c>
      <c r="W56" s="51" t="n">
        <v>0</v>
      </c>
      <c r="X56" s="52" t="n">
        <f aca="false">Q56+T56+U56+V56+W56</f>
        <v>7080</v>
      </c>
      <c r="Y56" s="52" t="n">
        <f aca="false">ROUND(Q56*AT56,0)</f>
        <v>120</v>
      </c>
      <c r="Z56" s="52" t="n">
        <f aca="false">X56-Y56</f>
        <v>6960</v>
      </c>
      <c r="AA56" s="47"/>
      <c r="AB56" s="47"/>
      <c r="AC56" s="47"/>
      <c r="AD56" s="47" t="s">
        <v>117</v>
      </c>
      <c r="AE56" s="47" t="s">
        <v>328</v>
      </c>
      <c r="AF56" s="47" t="s">
        <v>327</v>
      </c>
      <c r="AG56" s="47"/>
      <c r="AH56" s="48"/>
      <c r="AI56" s="47"/>
      <c r="AJ56" s="47" t="s">
        <v>338</v>
      </c>
      <c r="AK56" s="47" t="s">
        <v>339</v>
      </c>
      <c r="AL56" s="47"/>
      <c r="AM56" s="47"/>
      <c r="AN56" s="47"/>
      <c r="AO56" s="47"/>
      <c r="AP56" s="47"/>
      <c r="AQ56" s="47"/>
      <c r="AR56" s="47" t="s">
        <v>340</v>
      </c>
      <c r="AS56" s="47" t="s">
        <v>203</v>
      </c>
      <c r="AT56" s="54" t="n">
        <v>0.02</v>
      </c>
    </row>
    <row r="57" customFormat="false" ht="14.25" hidden="false" customHeight="true" outlineLevel="0" collapsed="false">
      <c r="A57" s="47" t="n">
        <v>53</v>
      </c>
      <c r="B57" s="47" t="s">
        <v>341</v>
      </c>
      <c r="C57" s="47" t="s">
        <v>342</v>
      </c>
      <c r="D57" s="48" t="n">
        <v>46268</v>
      </c>
      <c r="E57" s="49" t="n">
        <f aca="false">YEAR(D57)</f>
        <v>2026</v>
      </c>
      <c r="F57" s="50" t="str">
        <f aca="false">TEXT(D57,"mmm")</f>
        <v>Sep</v>
      </c>
      <c r="G57" s="47" t="s">
        <v>343</v>
      </c>
      <c r="H57" s="47" t="s">
        <v>344</v>
      </c>
      <c r="I57" s="47"/>
      <c r="J57" s="47" t="s">
        <v>345</v>
      </c>
      <c r="K57" s="47" t="s">
        <v>346</v>
      </c>
      <c r="L57" s="47"/>
      <c r="M57" s="47" t="n">
        <v>1</v>
      </c>
      <c r="N57" s="47" t="s">
        <v>171</v>
      </c>
      <c r="O57" s="51" t="n">
        <v>9821</v>
      </c>
      <c r="P57" s="51" t="n">
        <v>0</v>
      </c>
      <c r="Q57" s="52" t="n">
        <f aca="false">M57*O57-P57</f>
        <v>9821</v>
      </c>
      <c r="R57" s="53" t="n">
        <v>0.18</v>
      </c>
      <c r="S57" s="47" t="s">
        <v>39</v>
      </c>
      <c r="T57" s="52" t="n">
        <f aca="false">IF(S57="IGST",ROUND(Q57*R57,2),0)</f>
        <v>0</v>
      </c>
      <c r="U57" s="52" t="n">
        <f aca="false">IF(S57="CGST+SGST",ROUND(Q57*R57/2,2),0)</f>
        <v>883.89</v>
      </c>
      <c r="V57" s="52" t="n">
        <f aca="false">U57</f>
        <v>883.89</v>
      </c>
      <c r="W57" s="51" t="n">
        <v>0</v>
      </c>
      <c r="X57" s="52" t="n">
        <f aca="false">Q57+T57+U57+V57+W57</f>
        <v>11588.78</v>
      </c>
      <c r="Y57" s="52" t="n">
        <f aca="false">ROUND(Q57*AT57,0)</f>
        <v>0</v>
      </c>
      <c r="Z57" s="52" t="n">
        <f aca="false">X57-Y57</f>
        <v>11588.78</v>
      </c>
      <c r="AA57" s="47"/>
      <c r="AB57" s="47"/>
      <c r="AC57" s="47"/>
      <c r="AD57" s="47" t="s">
        <v>177</v>
      </c>
      <c r="AE57" s="47" t="s">
        <v>176</v>
      </c>
      <c r="AF57" s="47" t="s">
        <v>177</v>
      </c>
      <c r="AG57" s="47"/>
      <c r="AH57" s="48"/>
      <c r="AI57" s="47"/>
      <c r="AJ57" s="47" t="s">
        <v>347</v>
      </c>
      <c r="AK57" s="47" t="s">
        <v>348</v>
      </c>
      <c r="AL57" s="47"/>
      <c r="AM57" s="47"/>
      <c r="AN57" s="47"/>
      <c r="AO57" s="47"/>
      <c r="AP57" s="47"/>
      <c r="AQ57" s="47"/>
      <c r="AR57" s="47" t="s">
        <v>349</v>
      </c>
      <c r="AS57" s="47" t="s">
        <v>350</v>
      </c>
      <c r="AT57" s="54" t="n">
        <v>0</v>
      </c>
    </row>
    <row r="58" customFormat="false" ht="14.25" hidden="false" customHeight="true" outlineLevel="0" collapsed="false">
      <c r="A58" s="47" t="n">
        <v>54</v>
      </c>
      <c r="B58" s="47" t="s">
        <v>341</v>
      </c>
      <c r="C58" s="47" t="s">
        <v>342</v>
      </c>
      <c r="D58" s="48" t="n">
        <v>46268</v>
      </c>
      <c r="E58" s="49" t="n">
        <f aca="false">YEAR(D58)</f>
        <v>2026</v>
      </c>
      <c r="F58" s="50" t="str">
        <f aca="false">TEXT(D58,"mmm")</f>
        <v>Sep</v>
      </c>
      <c r="G58" s="47" t="s">
        <v>343</v>
      </c>
      <c r="H58" s="47" t="s">
        <v>344</v>
      </c>
      <c r="I58" s="47"/>
      <c r="J58" s="47" t="s">
        <v>351</v>
      </c>
      <c r="K58" s="47" t="s">
        <v>352</v>
      </c>
      <c r="L58" s="47"/>
      <c r="M58" s="47" t="n">
        <v>1</v>
      </c>
      <c r="N58" s="47" t="s">
        <v>171</v>
      </c>
      <c r="O58" s="51" t="n">
        <v>100</v>
      </c>
      <c r="P58" s="51" t="n">
        <v>0</v>
      </c>
      <c r="Q58" s="52" t="n">
        <f aca="false">M58*O58-P58</f>
        <v>100</v>
      </c>
      <c r="R58" s="53" t="n">
        <v>0.18</v>
      </c>
      <c r="S58" s="47" t="s">
        <v>39</v>
      </c>
      <c r="T58" s="52" t="n">
        <f aca="false">IF(S58="IGST",ROUND(Q58*R58,2),0)</f>
        <v>0</v>
      </c>
      <c r="U58" s="52" t="n">
        <f aca="false">IF(S58="CGST+SGST",ROUND(Q58*R58/2,2),0)</f>
        <v>9</v>
      </c>
      <c r="V58" s="52" t="n">
        <f aca="false">U58</f>
        <v>9</v>
      </c>
      <c r="W58" s="51" t="n">
        <v>0</v>
      </c>
      <c r="X58" s="52" t="n">
        <f aca="false">Q58+T58+U58+V58+W58</f>
        <v>118</v>
      </c>
      <c r="Y58" s="52" t="n">
        <f aca="false">ROUND(Q58*AT58,0)</f>
        <v>0</v>
      </c>
      <c r="Z58" s="52" t="n">
        <f aca="false">X58-Y58</f>
        <v>118</v>
      </c>
      <c r="AA58" s="47"/>
      <c r="AB58" s="47"/>
      <c r="AC58" s="47"/>
      <c r="AD58" s="47" t="s">
        <v>177</v>
      </c>
      <c r="AE58" s="47" t="s">
        <v>176</v>
      </c>
      <c r="AF58" s="47" t="s">
        <v>177</v>
      </c>
      <c r="AG58" s="47"/>
      <c r="AH58" s="48"/>
      <c r="AI58" s="47"/>
      <c r="AJ58" s="47" t="s">
        <v>347</v>
      </c>
      <c r="AK58" s="47" t="s">
        <v>348</v>
      </c>
      <c r="AL58" s="47"/>
      <c r="AM58" s="47"/>
      <c r="AN58" s="47"/>
      <c r="AO58" s="47"/>
      <c r="AP58" s="47"/>
      <c r="AQ58" s="47"/>
      <c r="AR58" s="47" t="s">
        <v>349</v>
      </c>
      <c r="AS58" s="47" t="s">
        <v>350</v>
      </c>
      <c r="AT58" s="54" t="n">
        <v>0</v>
      </c>
    </row>
    <row r="59" customFormat="false" ht="14.25" hidden="false" customHeight="true" outlineLevel="0" collapsed="false">
      <c r="A59" s="47" t="n">
        <v>55</v>
      </c>
      <c r="B59" s="47" t="s">
        <v>353</v>
      </c>
      <c r="C59" s="47" t="s">
        <v>354</v>
      </c>
      <c r="D59" s="48" t="n">
        <v>46268</v>
      </c>
      <c r="E59" s="49" t="n">
        <f aca="false">YEAR(D59)</f>
        <v>2026</v>
      </c>
      <c r="F59" s="50" t="str">
        <f aca="false">TEXT(D59,"mmm")</f>
        <v>Sep</v>
      </c>
      <c r="G59" s="47" t="s">
        <v>355</v>
      </c>
      <c r="H59" s="47" t="s">
        <v>356</v>
      </c>
      <c r="I59" s="47"/>
      <c r="J59" s="47" t="s">
        <v>357</v>
      </c>
      <c r="K59" s="47" t="s">
        <v>346</v>
      </c>
      <c r="L59" s="47"/>
      <c r="M59" s="47" t="n">
        <v>1</v>
      </c>
      <c r="N59" s="47" t="s">
        <v>171</v>
      </c>
      <c r="O59" s="51" t="n">
        <v>30472.58</v>
      </c>
      <c r="P59" s="51" t="n">
        <v>0</v>
      </c>
      <c r="Q59" s="52" t="n">
        <f aca="false">M59*O59-P59</f>
        <v>30472.58</v>
      </c>
      <c r="R59" s="53" t="n">
        <v>0.18</v>
      </c>
      <c r="S59" s="47" t="s">
        <v>39</v>
      </c>
      <c r="T59" s="52" t="n">
        <f aca="false">IF(S59="IGST",ROUND(Q59*R59,2),0)</f>
        <v>0</v>
      </c>
      <c r="U59" s="52" t="n">
        <f aca="false">IF(S59="CGST+SGST",ROUND(Q59*R59/2,2),0)</f>
        <v>2742.53</v>
      </c>
      <c r="V59" s="52" t="n">
        <f aca="false">U59</f>
        <v>2742.53</v>
      </c>
      <c r="W59" s="51" t="n">
        <v>0</v>
      </c>
      <c r="X59" s="52" t="n">
        <f aca="false">Q59+T59+U59+V59+W59</f>
        <v>35957.64</v>
      </c>
      <c r="Y59" s="52" t="n">
        <f aca="false">ROUND(Q59*AT59,0)</f>
        <v>0</v>
      </c>
      <c r="Z59" s="52" t="n">
        <f aca="false">X59-Y59</f>
        <v>35957.64</v>
      </c>
      <c r="AA59" s="47"/>
      <c r="AB59" s="47"/>
      <c r="AC59" s="47"/>
      <c r="AD59" s="47" t="s">
        <v>177</v>
      </c>
      <c r="AE59" s="47" t="s">
        <v>176</v>
      </c>
      <c r="AF59" s="47" t="s">
        <v>177</v>
      </c>
      <c r="AG59" s="47"/>
      <c r="AH59" s="48"/>
      <c r="AI59" s="47"/>
      <c r="AJ59" s="47" t="s">
        <v>358</v>
      </c>
      <c r="AK59" s="47" t="s">
        <v>359</v>
      </c>
      <c r="AL59" s="47"/>
      <c r="AM59" s="47"/>
      <c r="AN59" s="47"/>
      <c r="AO59" s="47"/>
      <c r="AP59" s="47"/>
      <c r="AQ59" s="47"/>
      <c r="AR59" s="47" t="s">
        <v>360</v>
      </c>
      <c r="AS59" s="47" t="s">
        <v>350</v>
      </c>
      <c r="AT59" s="54" t="n">
        <v>0</v>
      </c>
    </row>
    <row r="60" customFormat="false" ht="14.25" hidden="false" customHeight="true" outlineLevel="0" collapsed="false">
      <c r="A60" s="47" t="n">
        <v>56</v>
      </c>
      <c r="B60" s="47" t="s">
        <v>361</v>
      </c>
      <c r="C60" s="47" t="s">
        <v>362</v>
      </c>
      <c r="D60" s="48" t="n">
        <v>46265</v>
      </c>
      <c r="E60" s="49" t="n">
        <f aca="false">YEAR(D60)</f>
        <v>2026</v>
      </c>
      <c r="F60" s="50" t="str">
        <f aca="false">TEXT(D60,"mmm")</f>
        <v>Aug</v>
      </c>
      <c r="G60" s="47" t="s">
        <v>363</v>
      </c>
      <c r="H60" s="47" t="s">
        <v>364</v>
      </c>
      <c r="I60" s="47"/>
      <c r="J60" s="47" t="s">
        <v>365</v>
      </c>
      <c r="K60" s="47" t="s">
        <v>366</v>
      </c>
      <c r="L60" s="47"/>
      <c r="M60" s="47" t="n">
        <v>1</v>
      </c>
      <c r="N60" s="47" t="s">
        <v>171</v>
      </c>
      <c r="O60" s="51" t="n">
        <v>18736.45</v>
      </c>
      <c r="P60" s="51" t="n">
        <v>0</v>
      </c>
      <c r="Q60" s="52" t="n">
        <f aca="false">M60*O60-P60</f>
        <v>18736.45</v>
      </c>
      <c r="R60" s="53" t="n">
        <v>0.18</v>
      </c>
      <c r="S60" s="47" t="s">
        <v>39</v>
      </c>
      <c r="T60" s="52" t="n">
        <f aca="false">IF(S60="IGST",ROUND(Q60*R60,2),0)</f>
        <v>0</v>
      </c>
      <c r="U60" s="52" t="n">
        <f aca="false">IF(S60="CGST+SGST",ROUND(Q60*R60/2,2),0)</f>
        <v>1686.28</v>
      </c>
      <c r="V60" s="52" t="n">
        <f aca="false">U60</f>
        <v>1686.28</v>
      </c>
      <c r="W60" s="51" t="n">
        <v>0</v>
      </c>
      <c r="X60" s="52" t="n">
        <f aca="false">Q60+T60+U60+V60+W60</f>
        <v>22109.01</v>
      </c>
      <c r="Y60" s="52" t="n">
        <f aca="false">ROUND(Q60*AT60,0)</f>
        <v>375</v>
      </c>
      <c r="Z60" s="52" t="n">
        <f aca="false">X60-Y60</f>
        <v>21734.01</v>
      </c>
      <c r="AA60" s="47"/>
      <c r="AB60" s="47"/>
      <c r="AC60" s="47"/>
      <c r="AD60" s="47" t="s">
        <v>117</v>
      </c>
      <c r="AE60" s="47" t="s">
        <v>116</v>
      </c>
      <c r="AF60" s="47" t="s">
        <v>117</v>
      </c>
      <c r="AG60" s="47"/>
      <c r="AH60" s="48"/>
      <c r="AI60" s="47"/>
      <c r="AJ60" s="47" t="s">
        <v>367</v>
      </c>
      <c r="AK60" s="47" t="s">
        <v>368</v>
      </c>
      <c r="AL60" s="47"/>
      <c r="AM60" s="47"/>
      <c r="AN60" s="47"/>
      <c r="AO60" s="47"/>
      <c r="AP60" s="47"/>
      <c r="AQ60" s="47"/>
      <c r="AR60" s="47" t="s">
        <v>369</v>
      </c>
      <c r="AS60" s="47" t="s">
        <v>203</v>
      </c>
      <c r="AT60" s="54" t="n">
        <v>0.02</v>
      </c>
    </row>
    <row r="61" customFormat="false" ht="14.25" hidden="false" customHeight="true" outlineLevel="0" collapsed="false">
      <c r="A61" s="47" t="n">
        <v>57</v>
      </c>
      <c r="B61" s="47" t="s">
        <v>370</v>
      </c>
      <c r="C61" s="47" t="s">
        <v>371</v>
      </c>
      <c r="D61" s="48" t="n">
        <v>46265</v>
      </c>
      <c r="E61" s="49" t="n">
        <f aca="false">YEAR(D61)</f>
        <v>2026</v>
      </c>
      <c r="F61" s="50" t="str">
        <f aca="false">TEXT(D61,"mmm")</f>
        <v>Aug</v>
      </c>
      <c r="G61" s="47" t="s">
        <v>363</v>
      </c>
      <c r="H61" s="47" t="s">
        <v>364</v>
      </c>
      <c r="I61" s="47"/>
      <c r="J61" s="47" t="s">
        <v>372</v>
      </c>
      <c r="K61" s="47" t="s">
        <v>366</v>
      </c>
      <c r="L61" s="47"/>
      <c r="M61" s="47" t="n">
        <v>1</v>
      </c>
      <c r="N61" s="47" t="s">
        <v>171</v>
      </c>
      <c r="O61" s="51" t="n">
        <v>14775.25</v>
      </c>
      <c r="P61" s="51" t="n">
        <v>0</v>
      </c>
      <c r="Q61" s="52" t="n">
        <f aca="false">M61*O61-P61</f>
        <v>14775.25</v>
      </c>
      <c r="R61" s="53" t="n">
        <v>0.18</v>
      </c>
      <c r="S61" s="47" t="s">
        <v>39</v>
      </c>
      <c r="T61" s="52" t="n">
        <f aca="false">IF(S61="IGST",ROUND(Q61*R61,2),0)</f>
        <v>0</v>
      </c>
      <c r="U61" s="52" t="n">
        <f aca="false">IF(S61="CGST+SGST",ROUND(Q61*R61/2,2),0)</f>
        <v>1329.77</v>
      </c>
      <c r="V61" s="52" t="n">
        <f aca="false">U61</f>
        <v>1329.77</v>
      </c>
      <c r="W61" s="51" t="n">
        <v>0</v>
      </c>
      <c r="X61" s="52" t="n">
        <f aca="false">Q61+T61+U61+V61+W61</f>
        <v>17434.79</v>
      </c>
      <c r="Y61" s="52" t="n">
        <f aca="false">ROUND(Q61*AT61,0)</f>
        <v>296</v>
      </c>
      <c r="Z61" s="52" t="n">
        <f aca="false">X61-Y61</f>
        <v>17138.79</v>
      </c>
      <c r="AA61" s="47"/>
      <c r="AB61" s="47"/>
      <c r="AC61" s="47"/>
      <c r="AD61" s="47" t="s">
        <v>117</v>
      </c>
      <c r="AE61" s="47" t="s">
        <v>116</v>
      </c>
      <c r="AF61" s="47" t="s">
        <v>117</v>
      </c>
      <c r="AG61" s="47"/>
      <c r="AH61" s="48"/>
      <c r="AI61" s="47"/>
      <c r="AJ61" s="47" t="s">
        <v>367</v>
      </c>
      <c r="AK61" s="47" t="s">
        <v>373</v>
      </c>
      <c r="AL61" s="47"/>
      <c r="AM61" s="47"/>
      <c r="AN61" s="47"/>
      <c r="AO61" s="47"/>
      <c r="AP61" s="47"/>
      <c r="AQ61" s="47"/>
      <c r="AR61" s="47" t="s">
        <v>369</v>
      </c>
      <c r="AS61" s="47" t="s">
        <v>203</v>
      </c>
      <c r="AT61" s="54" t="n">
        <v>0.02</v>
      </c>
    </row>
    <row r="62" customFormat="false" ht="14.25" hidden="false" customHeight="true" outlineLevel="0" collapsed="false">
      <c r="A62" s="47" t="n">
        <v>58</v>
      </c>
      <c r="B62" s="47" t="s">
        <v>374</v>
      </c>
      <c r="C62" s="47" t="s">
        <v>375</v>
      </c>
      <c r="D62" s="48" t="n">
        <v>46265</v>
      </c>
      <c r="E62" s="49" t="n">
        <f aca="false">YEAR(D62)</f>
        <v>2026</v>
      </c>
      <c r="F62" s="50" t="str">
        <f aca="false">TEXT(D62,"mmm")</f>
        <v>Aug</v>
      </c>
      <c r="G62" s="47" t="s">
        <v>363</v>
      </c>
      <c r="H62" s="47" t="s">
        <v>364</v>
      </c>
      <c r="I62" s="47"/>
      <c r="J62" s="47" t="s">
        <v>376</v>
      </c>
      <c r="K62" s="47" t="s">
        <v>366</v>
      </c>
      <c r="L62" s="47"/>
      <c r="M62" s="47" t="n">
        <v>1</v>
      </c>
      <c r="N62" s="47" t="s">
        <v>171</v>
      </c>
      <c r="O62" s="51" t="n">
        <v>6569.85</v>
      </c>
      <c r="P62" s="51" t="n">
        <v>0</v>
      </c>
      <c r="Q62" s="52" t="n">
        <f aca="false">M62*O62-P62</f>
        <v>6569.85</v>
      </c>
      <c r="R62" s="53" t="n">
        <v>0.18</v>
      </c>
      <c r="S62" s="47" t="s">
        <v>39</v>
      </c>
      <c r="T62" s="52" t="n">
        <f aca="false">IF(S62="IGST",ROUND(Q62*R62,2),0)</f>
        <v>0</v>
      </c>
      <c r="U62" s="52" t="n">
        <f aca="false">IF(S62="CGST+SGST",ROUND(Q62*R62/2,2),0)</f>
        <v>591.29</v>
      </c>
      <c r="V62" s="52" t="n">
        <f aca="false">U62</f>
        <v>591.29</v>
      </c>
      <c r="W62" s="51" t="n">
        <v>0</v>
      </c>
      <c r="X62" s="52" t="n">
        <f aca="false">Q62+T62+U62+V62+W62</f>
        <v>7752.43</v>
      </c>
      <c r="Y62" s="52" t="n">
        <f aca="false">ROUND(Q62*AT62,0)</f>
        <v>131</v>
      </c>
      <c r="Z62" s="52" t="n">
        <f aca="false">X62-Y62</f>
        <v>7621.43</v>
      </c>
      <c r="AA62" s="47"/>
      <c r="AB62" s="47"/>
      <c r="AC62" s="47"/>
      <c r="AD62" s="47" t="s">
        <v>117</v>
      </c>
      <c r="AE62" s="47" t="s">
        <v>116</v>
      </c>
      <c r="AF62" s="47" t="s">
        <v>117</v>
      </c>
      <c r="AG62" s="47"/>
      <c r="AH62" s="48"/>
      <c r="AI62" s="47"/>
      <c r="AJ62" s="47" t="s">
        <v>367</v>
      </c>
      <c r="AK62" s="47" t="s">
        <v>377</v>
      </c>
      <c r="AL62" s="47"/>
      <c r="AM62" s="47"/>
      <c r="AN62" s="47"/>
      <c r="AO62" s="47"/>
      <c r="AP62" s="47"/>
      <c r="AQ62" s="47"/>
      <c r="AR62" s="47" t="s">
        <v>369</v>
      </c>
      <c r="AS62" s="47" t="s">
        <v>203</v>
      </c>
      <c r="AT62" s="54" t="n">
        <v>0.02</v>
      </c>
    </row>
    <row r="63" customFormat="false" ht="14.25" hidden="false" customHeight="true" outlineLevel="0" collapsed="false">
      <c r="A63" s="47" t="n">
        <v>59</v>
      </c>
      <c r="B63" s="47" t="s">
        <v>378</v>
      </c>
      <c r="C63" s="47" t="s">
        <v>379</v>
      </c>
      <c r="D63" s="48" t="n">
        <v>46265</v>
      </c>
      <c r="E63" s="49" t="n">
        <f aca="false">YEAR(D63)</f>
        <v>2026</v>
      </c>
      <c r="F63" s="50" t="str">
        <f aca="false">TEXT(D63,"mmm")</f>
        <v>Aug</v>
      </c>
      <c r="G63" s="47" t="s">
        <v>363</v>
      </c>
      <c r="H63" s="47" t="s">
        <v>380</v>
      </c>
      <c r="I63" s="47"/>
      <c r="J63" s="47" t="s">
        <v>376</v>
      </c>
      <c r="K63" s="47" t="s">
        <v>366</v>
      </c>
      <c r="L63" s="47"/>
      <c r="M63" s="47" t="n">
        <v>1</v>
      </c>
      <c r="N63" s="47" t="s">
        <v>171</v>
      </c>
      <c r="O63" s="51" t="n">
        <v>4952.99</v>
      </c>
      <c r="P63" s="51" t="n">
        <v>0</v>
      </c>
      <c r="Q63" s="52" t="n">
        <f aca="false">M63*O63-P63</f>
        <v>4952.99</v>
      </c>
      <c r="R63" s="53" t="n">
        <v>0.18</v>
      </c>
      <c r="S63" s="47" t="s">
        <v>37</v>
      </c>
      <c r="T63" s="52" t="n">
        <f aca="false">IF(S63="IGST",ROUND(Q63*R63,2),0)</f>
        <v>891.54</v>
      </c>
      <c r="U63" s="52" t="n">
        <f aca="false">IF(S63="CGST+SGST",ROUND(Q63*R63/2,2),0)</f>
        <v>0</v>
      </c>
      <c r="V63" s="52" t="n">
        <f aca="false">U63</f>
        <v>0</v>
      </c>
      <c r="W63" s="51" t="n">
        <v>0</v>
      </c>
      <c r="X63" s="52" t="n">
        <f aca="false">Q63+T63+U63+V63+W63</f>
        <v>5844.53</v>
      </c>
      <c r="Y63" s="52" t="n">
        <f aca="false">ROUND(Q63*AT63,0)</f>
        <v>99</v>
      </c>
      <c r="Z63" s="52" t="n">
        <f aca="false">X63-Y63</f>
        <v>5745.53</v>
      </c>
      <c r="AA63" s="47"/>
      <c r="AB63" s="47"/>
      <c r="AC63" s="47"/>
      <c r="AD63" s="47" t="s">
        <v>197</v>
      </c>
      <c r="AE63" s="47" t="s">
        <v>116</v>
      </c>
      <c r="AF63" s="47" t="s">
        <v>117</v>
      </c>
      <c r="AG63" s="47"/>
      <c r="AH63" s="48"/>
      <c r="AI63" s="47"/>
      <c r="AJ63" s="47" t="s">
        <v>367</v>
      </c>
      <c r="AK63" s="47" t="s">
        <v>381</v>
      </c>
      <c r="AL63" s="47"/>
      <c r="AM63" s="47"/>
      <c r="AN63" s="47"/>
      <c r="AO63" s="47"/>
      <c r="AP63" s="47"/>
      <c r="AQ63" s="47"/>
      <c r="AR63" s="47" t="s">
        <v>382</v>
      </c>
      <c r="AS63" s="47" t="s">
        <v>203</v>
      </c>
      <c r="AT63" s="54" t="n">
        <v>0.02</v>
      </c>
    </row>
    <row r="64" customFormat="false" ht="14.25" hidden="false" customHeight="true" outlineLevel="0" collapsed="false">
      <c r="A64" s="47" t="n">
        <v>60</v>
      </c>
      <c r="B64" s="47" t="s">
        <v>383</v>
      </c>
      <c r="C64" s="47" t="s">
        <v>384</v>
      </c>
      <c r="D64" s="48" t="n">
        <v>46265</v>
      </c>
      <c r="E64" s="49" t="n">
        <f aca="false">YEAR(D64)</f>
        <v>2026</v>
      </c>
      <c r="F64" s="50" t="str">
        <f aca="false">TEXT(D64,"mmm")</f>
        <v>Aug</v>
      </c>
      <c r="G64" s="47" t="s">
        <v>363</v>
      </c>
      <c r="H64" s="47" t="s">
        <v>385</v>
      </c>
      <c r="I64" s="47"/>
      <c r="J64" s="47" t="s">
        <v>376</v>
      </c>
      <c r="K64" s="47" t="s">
        <v>366</v>
      </c>
      <c r="L64" s="47"/>
      <c r="M64" s="47" t="n">
        <v>1</v>
      </c>
      <c r="N64" s="47" t="s">
        <v>171</v>
      </c>
      <c r="O64" s="51" t="n">
        <v>277.1</v>
      </c>
      <c r="P64" s="51" t="n">
        <v>0</v>
      </c>
      <c r="Q64" s="52" t="n">
        <f aca="false">M64*O64-P64</f>
        <v>277.1</v>
      </c>
      <c r="R64" s="53" t="n">
        <v>0.18</v>
      </c>
      <c r="S64" s="47" t="s">
        <v>37</v>
      </c>
      <c r="T64" s="52" t="n">
        <f aca="false">IF(S64="IGST",ROUND(Q64*R64,2),0)</f>
        <v>49.88</v>
      </c>
      <c r="U64" s="52" t="n">
        <f aca="false">IF(S64="CGST+SGST",ROUND(Q64*R64/2,2),0)</f>
        <v>0</v>
      </c>
      <c r="V64" s="52" t="n">
        <f aca="false">U64</f>
        <v>0</v>
      </c>
      <c r="W64" s="51" t="n">
        <v>0</v>
      </c>
      <c r="X64" s="52" t="n">
        <f aca="false">Q64+T64+U64+V64+W64</f>
        <v>326.98</v>
      </c>
      <c r="Y64" s="52" t="n">
        <f aca="false">ROUND(Q64*AT64,0)</f>
        <v>6</v>
      </c>
      <c r="Z64" s="52" t="n">
        <f aca="false">X64-Y64</f>
        <v>320.98</v>
      </c>
      <c r="AA64" s="47"/>
      <c r="AB64" s="47"/>
      <c r="AC64" s="47"/>
      <c r="AD64" s="47" t="s">
        <v>386</v>
      </c>
      <c r="AE64" s="47" t="s">
        <v>116</v>
      </c>
      <c r="AF64" s="47" t="s">
        <v>117</v>
      </c>
      <c r="AG64" s="47"/>
      <c r="AH64" s="48"/>
      <c r="AI64" s="47"/>
      <c r="AJ64" s="47" t="s">
        <v>367</v>
      </c>
      <c r="AK64" s="47" t="s">
        <v>387</v>
      </c>
      <c r="AL64" s="47"/>
      <c r="AM64" s="47"/>
      <c r="AN64" s="47"/>
      <c r="AO64" s="47"/>
      <c r="AP64" s="47"/>
      <c r="AQ64" s="47"/>
      <c r="AR64" s="47" t="s">
        <v>382</v>
      </c>
      <c r="AS64" s="47" t="s">
        <v>203</v>
      </c>
      <c r="AT64" s="54" t="n">
        <v>0.02</v>
      </c>
    </row>
    <row r="65" customFormat="false" ht="14.25" hidden="false" customHeight="true" outlineLevel="0" collapsed="false">
      <c r="A65" s="47" t="n">
        <v>61</v>
      </c>
      <c r="B65" s="47" t="s">
        <v>388</v>
      </c>
      <c r="C65" s="47" t="s">
        <v>389</v>
      </c>
      <c r="D65" s="48" t="n">
        <v>46265</v>
      </c>
      <c r="E65" s="49" t="n">
        <f aca="false">YEAR(D65)</f>
        <v>2026</v>
      </c>
      <c r="F65" s="50" t="str">
        <f aca="false">TEXT(D65,"mmm")</f>
        <v>Aug</v>
      </c>
      <c r="G65" s="47" t="s">
        <v>363</v>
      </c>
      <c r="H65" s="47" t="s">
        <v>385</v>
      </c>
      <c r="I65" s="47"/>
      <c r="J65" s="47" t="s">
        <v>390</v>
      </c>
      <c r="K65" s="47" t="s">
        <v>366</v>
      </c>
      <c r="L65" s="47"/>
      <c r="M65" s="47" t="n">
        <v>1</v>
      </c>
      <c r="N65" s="47" t="s">
        <v>171</v>
      </c>
      <c r="O65" s="51" t="n">
        <v>817.23</v>
      </c>
      <c r="P65" s="51" t="n">
        <v>0</v>
      </c>
      <c r="Q65" s="52" t="n">
        <f aca="false">M65*O65-P65</f>
        <v>817.23</v>
      </c>
      <c r="R65" s="53" t="n">
        <v>0.18</v>
      </c>
      <c r="S65" s="47" t="s">
        <v>37</v>
      </c>
      <c r="T65" s="52" t="n">
        <f aca="false">IF(S65="IGST",ROUND(Q65*R65,2),0)</f>
        <v>147.1</v>
      </c>
      <c r="U65" s="52" t="n">
        <f aca="false">IF(S65="CGST+SGST",ROUND(Q65*R65/2,2),0)</f>
        <v>0</v>
      </c>
      <c r="V65" s="52" t="n">
        <f aca="false">U65</f>
        <v>0</v>
      </c>
      <c r="W65" s="51" t="n">
        <v>0</v>
      </c>
      <c r="X65" s="52" t="n">
        <f aca="false">Q65+T65+U65+V65+W65</f>
        <v>964.33</v>
      </c>
      <c r="Y65" s="52" t="n">
        <f aca="false">ROUND(Q65*AT65,0)</f>
        <v>16</v>
      </c>
      <c r="Z65" s="52" t="n">
        <f aca="false">X65-Y65</f>
        <v>948.33</v>
      </c>
      <c r="AA65" s="47"/>
      <c r="AB65" s="47"/>
      <c r="AC65" s="47"/>
      <c r="AD65" s="47" t="s">
        <v>386</v>
      </c>
      <c r="AE65" s="47" t="s">
        <v>116</v>
      </c>
      <c r="AF65" s="47" t="s">
        <v>117</v>
      </c>
      <c r="AG65" s="47"/>
      <c r="AH65" s="48"/>
      <c r="AI65" s="47"/>
      <c r="AJ65" s="47" t="s">
        <v>367</v>
      </c>
      <c r="AK65" s="47" t="s">
        <v>391</v>
      </c>
      <c r="AL65" s="47"/>
      <c r="AM65" s="47"/>
      <c r="AN65" s="47"/>
      <c r="AO65" s="47"/>
      <c r="AP65" s="47"/>
      <c r="AQ65" s="47"/>
      <c r="AR65" s="47" t="s">
        <v>382</v>
      </c>
      <c r="AS65" s="47" t="s">
        <v>203</v>
      </c>
      <c r="AT65" s="54" t="n">
        <v>0.02</v>
      </c>
    </row>
    <row r="66" customFormat="false" ht="14.25" hidden="false" customHeight="true" outlineLevel="0" collapsed="false">
      <c r="A66" s="47" t="n">
        <v>62</v>
      </c>
      <c r="B66" s="47" t="s">
        <v>392</v>
      </c>
      <c r="C66" s="47" t="s">
        <v>393</v>
      </c>
      <c r="D66" s="48" t="n">
        <v>46265</v>
      </c>
      <c r="E66" s="49" t="n">
        <f aca="false">YEAR(D66)</f>
        <v>2026</v>
      </c>
      <c r="F66" s="50" t="str">
        <f aca="false">TEXT(D66,"mmm")</f>
        <v>Aug</v>
      </c>
      <c r="G66" s="47" t="s">
        <v>363</v>
      </c>
      <c r="H66" s="47" t="s">
        <v>364</v>
      </c>
      <c r="I66" s="47"/>
      <c r="J66" s="47" t="s">
        <v>390</v>
      </c>
      <c r="K66" s="47" t="s">
        <v>366</v>
      </c>
      <c r="L66" s="47"/>
      <c r="M66" s="47" t="n">
        <v>1</v>
      </c>
      <c r="N66" s="47" t="s">
        <v>171</v>
      </c>
      <c r="O66" s="51" t="n">
        <v>3497.55</v>
      </c>
      <c r="P66" s="51" t="n">
        <v>0</v>
      </c>
      <c r="Q66" s="52" t="n">
        <f aca="false">M66*O66-P66</f>
        <v>3497.55</v>
      </c>
      <c r="R66" s="53" t="n">
        <v>0.18</v>
      </c>
      <c r="S66" s="47" t="s">
        <v>39</v>
      </c>
      <c r="T66" s="52" t="n">
        <f aca="false">IF(S66="IGST",ROUND(Q66*R66,2),0)</f>
        <v>0</v>
      </c>
      <c r="U66" s="52" t="n">
        <f aca="false">IF(S66="CGST+SGST",ROUND(Q66*R66/2,2),0)</f>
        <v>314.78</v>
      </c>
      <c r="V66" s="52" t="n">
        <f aca="false">U66</f>
        <v>314.78</v>
      </c>
      <c r="W66" s="51" t="n">
        <v>0</v>
      </c>
      <c r="X66" s="52" t="n">
        <f aca="false">Q66+T66+U66+V66+W66</f>
        <v>4127.11</v>
      </c>
      <c r="Y66" s="52" t="n">
        <f aca="false">ROUND(Q66*AT66,0)</f>
        <v>70</v>
      </c>
      <c r="Z66" s="52" t="n">
        <f aca="false">X66-Y66</f>
        <v>4057.11</v>
      </c>
      <c r="AA66" s="47"/>
      <c r="AB66" s="47"/>
      <c r="AC66" s="47"/>
      <c r="AD66" s="47" t="s">
        <v>117</v>
      </c>
      <c r="AE66" s="47" t="s">
        <v>116</v>
      </c>
      <c r="AF66" s="47" t="s">
        <v>117</v>
      </c>
      <c r="AG66" s="47"/>
      <c r="AH66" s="48"/>
      <c r="AI66" s="47"/>
      <c r="AJ66" s="47" t="s">
        <v>367</v>
      </c>
      <c r="AK66" s="47" t="s">
        <v>394</v>
      </c>
      <c r="AL66" s="47"/>
      <c r="AM66" s="47"/>
      <c r="AN66" s="47"/>
      <c r="AO66" s="47"/>
      <c r="AP66" s="47"/>
      <c r="AQ66" s="47"/>
      <c r="AR66" s="47" t="s">
        <v>369</v>
      </c>
      <c r="AS66" s="47" t="s">
        <v>203</v>
      </c>
      <c r="AT66" s="54" t="n">
        <v>0.02</v>
      </c>
    </row>
    <row r="67" customFormat="false" ht="14.25" hidden="false" customHeight="true" outlineLevel="0" collapsed="false">
      <c r="A67" s="47" t="n">
        <v>63</v>
      </c>
      <c r="B67" s="47" t="s">
        <v>395</v>
      </c>
      <c r="C67" s="47" t="s">
        <v>396</v>
      </c>
      <c r="D67" s="48" t="n">
        <v>46265</v>
      </c>
      <c r="E67" s="49" t="n">
        <f aca="false">YEAR(D67)</f>
        <v>2026</v>
      </c>
      <c r="F67" s="50" t="str">
        <f aca="false">TEXT(D67,"mmm")</f>
        <v>Aug</v>
      </c>
      <c r="G67" s="47" t="s">
        <v>397</v>
      </c>
      <c r="H67" s="47" t="s">
        <v>398</v>
      </c>
      <c r="I67" s="47"/>
      <c r="J67" s="47" t="s">
        <v>399</v>
      </c>
      <c r="K67" s="47" t="s">
        <v>366</v>
      </c>
      <c r="L67" s="47"/>
      <c r="M67" s="47" t="n">
        <v>1</v>
      </c>
      <c r="N67" s="47" t="s">
        <v>171</v>
      </c>
      <c r="O67" s="51" t="n">
        <v>1926.4</v>
      </c>
      <c r="P67" s="51" t="n">
        <v>0</v>
      </c>
      <c r="Q67" s="52" t="n">
        <f aca="false">M67*O67-P67</f>
        <v>1926.4</v>
      </c>
      <c r="R67" s="53" t="n">
        <v>0.18</v>
      </c>
      <c r="S67" s="47" t="s">
        <v>39</v>
      </c>
      <c r="T67" s="52" t="n">
        <f aca="false">IF(S67="IGST",ROUND(Q67*R67,2),0)</f>
        <v>0</v>
      </c>
      <c r="U67" s="52" t="n">
        <f aca="false">IF(S67="CGST+SGST",ROUND(Q67*R67/2,2),0)</f>
        <v>173.38</v>
      </c>
      <c r="V67" s="52" t="n">
        <f aca="false">U67</f>
        <v>173.38</v>
      </c>
      <c r="W67" s="51" t="n">
        <v>0</v>
      </c>
      <c r="X67" s="52" t="n">
        <f aca="false">Q67+T67+U67+V67+W67</f>
        <v>2273.16</v>
      </c>
      <c r="Y67" s="52" t="n">
        <f aca="false">ROUND(Q67*AT67,0)</f>
        <v>39</v>
      </c>
      <c r="Z67" s="52" t="n">
        <f aca="false">X67-Y67</f>
        <v>2234.16</v>
      </c>
      <c r="AA67" s="47"/>
      <c r="AB67" s="47"/>
      <c r="AC67" s="47"/>
      <c r="AD67" s="47" t="s">
        <v>400</v>
      </c>
      <c r="AE67" s="47" t="s">
        <v>401</v>
      </c>
      <c r="AF67" s="47" t="s">
        <v>400</v>
      </c>
      <c r="AG67" s="47"/>
      <c r="AH67" s="48"/>
      <c r="AI67" s="47"/>
      <c r="AJ67" s="47" t="s">
        <v>402</v>
      </c>
      <c r="AK67" s="47" t="s">
        <v>403</v>
      </c>
      <c r="AL67" s="47"/>
      <c r="AM67" s="47"/>
      <c r="AN67" s="47"/>
      <c r="AO67" s="47"/>
      <c r="AP67" s="47"/>
      <c r="AQ67" s="47"/>
      <c r="AR67" s="47" t="s">
        <v>404</v>
      </c>
      <c r="AS67" s="47" t="s">
        <v>203</v>
      </c>
      <c r="AT67" s="54" t="n">
        <v>0.02</v>
      </c>
    </row>
    <row r="68" customFormat="false" ht="14.25" hidden="false" customHeight="true" outlineLevel="0" collapsed="false">
      <c r="A68" s="47" t="n">
        <v>64</v>
      </c>
      <c r="B68" s="47" t="s">
        <v>405</v>
      </c>
      <c r="C68" s="47" t="s">
        <v>406</v>
      </c>
      <c r="D68" s="48" t="n">
        <v>46265</v>
      </c>
      <c r="E68" s="49" t="n">
        <f aca="false">YEAR(D68)</f>
        <v>2026</v>
      </c>
      <c r="F68" s="50" t="str">
        <f aca="false">TEXT(D68,"mmm")</f>
        <v>Aug</v>
      </c>
      <c r="G68" s="47" t="s">
        <v>397</v>
      </c>
      <c r="H68" s="47" t="s">
        <v>407</v>
      </c>
      <c r="I68" s="47"/>
      <c r="J68" s="47" t="s">
        <v>408</v>
      </c>
      <c r="K68" s="47" t="s">
        <v>366</v>
      </c>
      <c r="L68" s="47"/>
      <c r="M68" s="47" t="n">
        <v>1</v>
      </c>
      <c r="N68" s="47" t="s">
        <v>171</v>
      </c>
      <c r="O68" s="51" t="n">
        <v>76.16</v>
      </c>
      <c r="P68" s="51" t="n">
        <v>0</v>
      </c>
      <c r="Q68" s="52" t="n">
        <f aca="false">M68*O68-P68</f>
        <v>76.16</v>
      </c>
      <c r="R68" s="53" t="n">
        <v>0.18</v>
      </c>
      <c r="S68" s="47" t="s">
        <v>37</v>
      </c>
      <c r="T68" s="52" t="n">
        <f aca="false">IF(S68="IGST",ROUND(Q68*R68,2),0)</f>
        <v>13.71</v>
      </c>
      <c r="U68" s="52" t="n">
        <f aca="false">IF(S68="CGST+SGST",ROUND(Q68*R68/2,2),0)</f>
        <v>0</v>
      </c>
      <c r="V68" s="52" t="n">
        <f aca="false">U68</f>
        <v>0</v>
      </c>
      <c r="W68" s="51" t="n">
        <v>0</v>
      </c>
      <c r="X68" s="52" t="n">
        <f aca="false">Q68+T68+U68+V68+W68</f>
        <v>89.87</v>
      </c>
      <c r="Y68" s="52" t="n">
        <f aca="false">ROUND(Q68*AT68,0)</f>
        <v>2</v>
      </c>
      <c r="Z68" s="52" t="n">
        <f aca="false">X68-Y68</f>
        <v>87.87</v>
      </c>
      <c r="AA68" s="47"/>
      <c r="AB68" s="47"/>
      <c r="AC68" s="47"/>
      <c r="AD68" s="47" t="s">
        <v>197</v>
      </c>
      <c r="AE68" s="47" t="s">
        <v>116</v>
      </c>
      <c r="AF68" s="47" t="s">
        <v>117</v>
      </c>
      <c r="AG68" s="47"/>
      <c r="AH68" s="48"/>
      <c r="AI68" s="47"/>
      <c r="AJ68" s="47" t="s">
        <v>402</v>
      </c>
      <c r="AK68" s="47" t="s">
        <v>409</v>
      </c>
      <c r="AL68" s="47"/>
      <c r="AM68" s="47"/>
      <c r="AN68" s="47"/>
      <c r="AO68" s="47"/>
      <c r="AP68" s="47"/>
      <c r="AQ68" s="47"/>
      <c r="AR68" s="47" t="s">
        <v>410</v>
      </c>
      <c r="AS68" s="47" t="s">
        <v>203</v>
      </c>
      <c r="AT68" s="54" t="n">
        <v>0.02</v>
      </c>
    </row>
    <row r="69" customFormat="false" ht="14.25" hidden="false" customHeight="true" outlineLevel="0" collapsed="false">
      <c r="A69" s="47" t="n">
        <v>65</v>
      </c>
      <c r="B69" s="47" t="s">
        <v>411</v>
      </c>
      <c r="C69" s="47" t="s">
        <v>412</v>
      </c>
      <c r="D69" s="48" t="n">
        <v>46265</v>
      </c>
      <c r="E69" s="49" t="n">
        <f aca="false">YEAR(D69)</f>
        <v>2026</v>
      </c>
      <c r="F69" s="50" t="str">
        <f aca="false">TEXT(D69,"mmm")</f>
        <v>Aug</v>
      </c>
      <c r="G69" s="47" t="s">
        <v>397</v>
      </c>
      <c r="H69" s="47" t="s">
        <v>413</v>
      </c>
      <c r="I69" s="47"/>
      <c r="J69" s="47" t="s">
        <v>414</v>
      </c>
      <c r="K69" s="47" t="s">
        <v>366</v>
      </c>
      <c r="L69" s="47"/>
      <c r="M69" s="47" t="n">
        <v>1</v>
      </c>
      <c r="N69" s="47" t="s">
        <v>171</v>
      </c>
      <c r="O69" s="51" t="n">
        <v>11210.32</v>
      </c>
      <c r="P69" s="51" t="n">
        <v>0</v>
      </c>
      <c r="Q69" s="52" t="n">
        <f aca="false">M69*O69-P69</f>
        <v>11210.32</v>
      </c>
      <c r="R69" s="53" t="n">
        <v>0.18</v>
      </c>
      <c r="S69" s="47" t="s">
        <v>39</v>
      </c>
      <c r="T69" s="52" t="n">
        <f aca="false">IF(S69="IGST",ROUND(Q69*R69,2),0)</f>
        <v>0</v>
      </c>
      <c r="U69" s="52" t="n">
        <f aca="false">IF(S69="CGST+SGST",ROUND(Q69*R69/2,2),0)</f>
        <v>1008.93</v>
      </c>
      <c r="V69" s="52" t="n">
        <f aca="false">U69</f>
        <v>1008.93</v>
      </c>
      <c r="W69" s="51" t="n">
        <v>0</v>
      </c>
      <c r="X69" s="52" t="n">
        <f aca="false">Q69+T69+U69+V69+W69</f>
        <v>13228.18</v>
      </c>
      <c r="Y69" s="52" t="n">
        <f aca="false">ROUND(Q69*AT69,0)</f>
        <v>224</v>
      </c>
      <c r="Z69" s="52" t="n">
        <f aca="false">X69-Y69</f>
        <v>13004.18</v>
      </c>
      <c r="AA69" s="47"/>
      <c r="AB69" s="47"/>
      <c r="AC69" s="47"/>
      <c r="AD69" s="47" t="s">
        <v>177</v>
      </c>
      <c r="AE69" s="47" t="s">
        <v>176</v>
      </c>
      <c r="AF69" s="47" t="s">
        <v>177</v>
      </c>
      <c r="AG69" s="47"/>
      <c r="AH69" s="48"/>
      <c r="AI69" s="47"/>
      <c r="AJ69" s="47" t="s">
        <v>402</v>
      </c>
      <c r="AK69" s="47" t="s">
        <v>415</v>
      </c>
      <c r="AL69" s="47"/>
      <c r="AM69" s="47"/>
      <c r="AN69" s="47"/>
      <c r="AO69" s="47"/>
      <c r="AP69" s="47"/>
      <c r="AQ69" s="47"/>
      <c r="AR69" s="47" t="s">
        <v>416</v>
      </c>
      <c r="AS69" s="47" t="s">
        <v>203</v>
      </c>
      <c r="AT69" s="54" t="n">
        <v>0.02</v>
      </c>
    </row>
    <row r="70" customFormat="false" ht="14.25" hidden="false" customHeight="true" outlineLevel="0" collapsed="false">
      <c r="A70" s="47" t="n">
        <v>66</v>
      </c>
      <c r="B70" s="47" t="s">
        <v>417</v>
      </c>
      <c r="C70" s="47" t="s">
        <v>418</v>
      </c>
      <c r="D70" s="48" t="n">
        <v>46265</v>
      </c>
      <c r="E70" s="49" t="n">
        <f aca="false">YEAR(D70)</f>
        <v>2026</v>
      </c>
      <c r="F70" s="50" t="str">
        <f aca="false">TEXT(D70,"mmm")</f>
        <v>Aug</v>
      </c>
      <c r="G70" s="47" t="s">
        <v>397</v>
      </c>
      <c r="H70" s="47" t="s">
        <v>419</v>
      </c>
      <c r="I70" s="47"/>
      <c r="J70" s="47" t="s">
        <v>420</v>
      </c>
      <c r="K70" s="47" t="s">
        <v>366</v>
      </c>
      <c r="L70" s="47"/>
      <c r="M70" s="47" t="n">
        <v>1</v>
      </c>
      <c r="N70" s="47" t="s">
        <v>171</v>
      </c>
      <c r="O70" s="51" t="n">
        <v>815.36</v>
      </c>
      <c r="P70" s="51" t="n">
        <v>0</v>
      </c>
      <c r="Q70" s="52" t="n">
        <f aca="false">M70*O70-P70</f>
        <v>815.36</v>
      </c>
      <c r="R70" s="53" t="n">
        <v>0.18</v>
      </c>
      <c r="S70" s="47" t="s">
        <v>37</v>
      </c>
      <c r="T70" s="52" t="n">
        <f aca="false">IF(S70="IGST",ROUND(Q70*R70,2),0)</f>
        <v>146.76</v>
      </c>
      <c r="U70" s="52" t="n">
        <f aca="false">IF(S70="CGST+SGST",ROUND(Q70*R70/2,2),0)</f>
        <v>0</v>
      </c>
      <c r="V70" s="52" t="n">
        <f aca="false">U70</f>
        <v>0</v>
      </c>
      <c r="W70" s="51" t="n">
        <v>0</v>
      </c>
      <c r="X70" s="52" t="n">
        <f aca="false">Q70+T70+U70+V70+W70</f>
        <v>962.12</v>
      </c>
      <c r="Y70" s="52" t="n">
        <f aca="false">ROUND(Q70*AT70,0)</f>
        <v>16</v>
      </c>
      <c r="Z70" s="52" t="n">
        <f aca="false">X70-Y70</f>
        <v>946.12</v>
      </c>
      <c r="AA70" s="47"/>
      <c r="AB70" s="47"/>
      <c r="AC70" s="47"/>
      <c r="AD70" s="47" t="s">
        <v>421</v>
      </c>
      <c r="AE70" s="47" t="s">
        <v>116</v>
      </c>
      <c r="AF70" s="47" t="s">
        <v>117</v>
      </c>
      <c r="AG70" s="47"/>
      <c r="AH70" s="48"/>
      <c r="AI70" s="47"/>
      <c r="AJ70" s="47" t="s">
        <v>402</v>
      </c>
      <c r="AK70" s="47" t="s">
        <v>422</v>
      </c>
      <c r="AL70" s="47"/>
      <c r="AM70" s="47"/>
      <c r="AN70" s="47"/>
      <c r="AO70" s="47"/>
      <c r="AP70" s="47"/>
      <c r="AQ70" s="47"/>
      <c r="AR70" s="47" t="s">
        <v>410</v>
      </c>
      <c r="AS70" s="47" t="s">
        <v>203</v>
      </c>
      <c r="AT70" s="54" t="n">
        <v>0.02</v>
      </c>
    </row>
    <row r="71" customFormat="false" ht="14.25" hidden="false" customHeight="true" outlineLevel="0" collapsed="false">
      <c r="A71" s="47" t="n">
        <v>67</v>
      </c>
      <c r="B71" s="47" t="s">
        <v>423</v>
      </c>
      <c r="C71" s="47" t="s">
        <v>424</v>
      </c>
      <c r="D71" s="48" t="n">
        <v>46265</v>
      </c>
      <c r="E71" s="49" t="n">
        <f aca="false">YEAR(D71)</f>
        <v>2026</v>
      </c>
      <c r="F71" s="50" t="str">
        <f aca="false">TEXT(D71,"mmm")</f>
        <v>Aug</v>
      </c>
      <c r="G71" s="47" t="s">
        <v>397</v>
      </c>
      <c r="H71" s="47" t="s">
        <v>425</v>
      </c>
      <c r="I71" s="47"/>
      <c r="J71" s="47" t="s">
        <v>426</v>
      </c>
      <c r="K71" s="47" t="s">
        <v>366</v>
      </c>
      <c r="L71" s="47"/>
      <c r="M71" s="47" t="n">
        <v>1</v>
      </c>
      <c r="N71" s="47" t="s">
        <v>171</v>
      </c>
      <c r="O71" s="51" t="n">
        <v>1812.32</v>
      </c>
      <c r="P71" s="51" t="n">
        <v>0</v>
      </c>
      <c r="Q71" s="52" t="n">
        <f aca="false">M71*O71-P71</f>
        <v>1812.32</v>
      </c>
      <c r="R71" s="53" t="n">
        <v>0.18</v>
      </c>
      <c r="S71" s="47" t="s">
        <v>39</v>
      </c>
      <c r="T71" s="52" t="n">
        <f aca="false">IF(S71="IGST",ROUND(Q71*R71,2),0)</f>
        <v>0</v>
      </c>
      <c r="U71" s="52" t="n">
        <f aca="false">IF(S71="CGST+SGST",ROUND(Q71*R71/2,2),0)</f>
        <v>163.11</v>
      </c>
      <c r="V71" s="52" t="n">
        <f aca="false">U71</f>
        <v>163.11</v>
      </c>
      <c r="W71" s="51" t="n">
        <v>0</v>
      </c>
      <c r="X71" s="52" t="n">
        <f aca="false">Q71+T71+U71+V71+W71</f>
        <v>2138.54</v>
      </c>
      <c r="Y71" s="52" t="n">
        <f aca="false">ROUND(Q71*AT71,0)</f>
        <v>36</v>
      </c>
      <c r="Z71" s="52" t="n">
        <f aca="false">X71-Y71</f>
        <v>2102.54</v>
      </c>
      <c r="AA71" s="47"/>
      <c r="AB71" s="47"/>
      <c r="AC71" s="47"/>
      <c r="AD71" s="47" t="s">
        <v>327</v>
      </c>
      <c r="AE71" s="47" t="s">
        <v>328</v>
      </c>
      <c r="AF71" s="47" t="s">
        <v>327</v>
      </c>
      <c r="AG71" s="47"/>
      <c r="AH71" s="48"/>
      <c r="AI71" s="47"/>
      <c r="AJ71" s="47" t="s">
        <v>402</v>
      </c>
      <c r="AK71" s="47" t="s">
        <v>427</v>
      </c>
      <c r="AL71" s="47"/>
      <c r="AM71" s="47"/>
      <c r="AN71" s="47"/>
      <c r="AO71" s="47"/>
      <c r="AP71" s="47"/>
      <c r="AQ71" s="47"/>
      <c r="AR71" s="47" t="s">
        <v>416</v>
      </c>
      <c r="AS71" s="47" t="s">
        <v>203</v>
      </c>
      <c r="AT71" s="54" t="n">
        <v>0.02</v>
      </c>
    </row>
    <row r="72" customFormat="false" ht="14.25" hidden="false" customHeight="true" outlineLevel="0" collapsed="false">
      <c r="A72" s="47" t="n">
        <v>68</v>
      </c>
      <c r="B72" s="47" t="s">
        <v>428</v>
      </c>
      <c r="C72" s="47" t="s">
        <v>429</v>
      </c>
      <c r="D72" s="48" t="n">
        <v>46265</v>
      </c>
      <c r="E72" s="49" t="n">
        <f aca="false">YEAR(D72)</f>
        <v>2026</v>
      </c>
      <c r="F72" s="50" t="str">
        <f aca="false">TEXT(D72,"mmm")</f>
        <v>Aug</v>
      </c>
      <c r="G72" s="47" t="s">
        <v>397</v>
      </c>
      <c r="H72" s="47" t="s">
        <v>430</v>
      </c>
      <c r="I72" s="47"/>
      <c r="J72" s="47" t="s">
        <v>431</v>
      </c>
      <c r="K72" s="47" t="s">
        <v>366</v>
      </c>
      <c r="L72" s="47"/>
      <c r="M72" s="47" t="n">
        <v>1</v>
      </c>
      <c r="N72" s="47" t="s">
        <v>171</v>
      </c>
      <c r="O72" s="51" t="n">
        <v>44188.24</v>
      </c>
      <c r="P72" s="51" t="n">
        <v>0</v>
      </c>
      <c r="Q72" s="52" t="n">
        <f aca="false">M72*O72-P72</f>
        <v>44188.24</v>
      </c>
      <c r="R72" s="53" t="n">
        <v>0.18</v>
      </c>
      <c r="S72" s="47" t="s">
        <v>39</v>
      </c>
      <c r="T72" s="52" t="n">
        <f aca="false">IF(S72="IGST",ROUND(Q72*R72,2),0)</f>
        <v>0</v>
      </c>
      <c r="U72" s="52" t="n">
        <f aca="false">IF(S72="CGST+SGST",ROUND(Q72*R72/2,2),0)</f>
        <v>3976.94</v>
      </c>
      <c r="V72" s="52" t="n">
        <f aca="false">U72</f>
        <v>3976.94</v>
      </c>
      <c r="W72" s="51" t="n">
        <v>0</v>
      </c>
      <c r="X72" s="52" t="n">
        <f aca="false">Q72+T72+U72+V72+W72</f>
        <v>52142.12</v>
      </c>
      <c r="Y72" s="52" t="n">
        <f aca="false">ROUND(Q72*AT72,0)</f>
        <v>884</v>
      </c>
      <c r="Z72" s="52" t="n">
        <f aca="false">X72-Y72</f>
        <v>51258.12</v>
      </c>
      <c r="AA72" s="47"/>
      <c r="AB72" s="47"/>
      <c r="AC72" s="47"/>
      <c r="AD72" s="47" t="s">
        <v>117</v>
      </c>
      <c r="AE72" s="47" t="s">
        <v>116</v>
      </c>
      <c r="AF72" s="47" t="s">
        <v>117</v>
      </c>
      <c r="AG72" s="47"/>
      <c r="AH72" s="48"/>
      <c r="AI72" s="47"/>
      <c r="AJ72" s="47" t="s">
        <v>402</v>
      </c>
      <c r="AK72" s="47" t="s">
        <v>432</v>
      </c>
      <c r="AL72" s="47"/>
      <c r="AM72" s="47"/>
      <c r="AN72" s="47"/>
      <c r="AO72" s="47"/>
      <c r="AP72" s="47"/>
      <c r="AQ72" s="47"/>
      <c r="AR72" s="47" t="s">
        <v>416</v>
      </c>
      <c r="AS72" s="47" t="s">
        <v>203</v>
      </c>
      <c r="AT72" s="54" t="n">
        <v>0.02</v>
      </c>
    </row>
    <row r="73" customFormat="false" ht="14.25" hidden="false" customHeight="true" outlineLevel="0" collapsed="false">
      <c r="A73" s="47" t="n">
        <v>69</v>
      </c>
      <c r="B73" s="47" t="s">
        <v>433</v>
      </c>
      <c r="C73" s="47" t="s">
        <v>434</v>
      </c>
      <c r="D73" s="48" t="n">
        <v>46265</v>
      </c>
      <c r="E73" s="49" t="n">
        <f aca="false">YEAR(D73)</f>
        <v>2026</v>
      </c>
      <c r="F73" s="50" t="str">
        <f aca="false">TEXT(D73,"mmm")</f>
        <v>Aug</v>
      </c>
      <c r="G73" s="47" t="s">
        <v>397</v>
      </c>
      <c r="H73" s="47" t="s">
        <v>435</v>
      </c>
      <c r="I73" s="47"/>
      <c r="J73" s="47" t="s">
        <v>436</v>
      </c>
      <c r="K73" s="47" t="s">
        <v>366</v>
      </c>
      <c r="L73" s="47"/>
      <c r="M73" s="47" t="n">
        <v>1</v>
      </c>
      <c r="N73" s="47" t="s">
        <v>171</v>
      </c>
      <c r="O73" s="51" t="n">
        <v>3400.34</v>
      </c>
      <c r="P73" s="51" t="n">
        <v>0</v>
      </c>
      <c r="Q73" s="52" t="n">
        <f aca="false">M73*O73-P73</f>
        <v>3400.34</v>
      </c>
      <c r="R73" s="53" t="n">
        <v>0.18</v>
      </c>
      <c r="S73" s="47" t="s">
        <v>39</v>
      </c>
      <c r="T73" s="52" t="n">
        <f aca="false">IF(S73="IGST",ROUND(Q73*R73,2),0)</f>
        <v>0</v>
      </c>
      <c r="U73" s="52" t="n">
        <f aca="false">IF(S73="CGST+SGST",ROUND(Q73*R73/2,2),0)</f>
        <v>306.03</v>
      </c>
      <c r="V73" s="52" t="n">
        <f aca="false">U73</f>
        <v>306.03</v>
      </c>
      <c r="W73" s="51" t="n">
        <v>0</v>
      </c>
      <c r="X73" s="52" t="n">
        <f aca="false">Q73+T73+U73+V73+W73</f>
        <v>4012.4</v>
      </c>
      <c r="Y73" s="52" t="n">
        <f aca="false">ROUND(Q73*AT73,0)</f>
        <v>68</v>
      </c>
      <c r="Z73" s="52" t="n">
        <f aca="false">X73-Y73</f>
        <v>3944.4</v>
      </c>
      <c r="AA73" s="47"/>
      <c r="AB73" s="47"/>
      <c r="AC73" s="47"/>
      <c r="AD73" s="47" t="s">
        <v>386</v>
      </c>
      <c r="AE73" s="47" t="s">
        <v>437</v>
      </c>
      <c r="AF73" s="47" t="s">
        <v>386</v>
      </c>
      <c r="AG73" s="47"/>
      <c r="AH73" s="48"/>
      <c r="AI73" s="47"/>
      <c r="AJ73" s="47" t="s">
        <v>402</v>
      </c>
      <c r="AK73" s="47" t="s">
        <v>438</v>
      </c>
      <c r="AL73" s="47"/>
      <c r="AM73" s="47"/>
      <c r="AN73" s="47"/>
      <c r="AO73" s="47"/>
      <c r="AP73" s="47"/>
      <c r="AQ73" s="47"/>
      <c r="AR73" s="47" t="s">
        <v>416</v>
      </c>
      <c r="AS73" s="47" t="s">
        <v>203</v>
      </c>
      <c r="AT73" s="54" t="n">
        <v>0.02</v>
      </c>
    </row>
    <row r="74" customFormat="false" ht="14.25" hidden="false" customHeight="true" outlineLevel="0" collapsed="false">
      <c r="A74" s="47" t="n">
        <v>70</v>
      </c>
      <c r="B74" s="47" t="s">
        <v>439</v>
      </c>
      <c r="C74" s="47" t="s">
        <v>440</v>
      </c>
      <c r="D74" s="48" t="n">
        <v>46265</v>
      </c>
      <c r="E74" s="49" t="n">
        <f aca="false">YEAR(D74)</f>
        <v>2026</v>
      </c>
      <c r="F74" s="50" t="str">
        <f aca="false">TEXT(D74,"mmm")</f>
        <v>Aug</v>
      </c>
      <c r="G74" s="47" t="s">
        <v>397</v>
      </c>
      <c r="H74" s="47" t="s">
        <v>441</v>
      </c>
      <c r="I74" s="47"/>
      <c r="J74" s="47" t="s">
        <v>442</v>
      </c>
      <c r="K74" s="47" t="s">
        <v>366</v>
      </c>
      <c r="L74" s="47"/>
      <c r="M74" s="47" t="n">
        <v>1</v>
      </c>
      <c r="N74" s="47" t="s">
        <v>171</v>
      </c>
      <c r="O74" s="51" t="n">
        <v>3133.02</v>
      </c>
      <c r="P74" s="51" t="n">
        <v>0</v>
      </c>
      <c r="Q74" s="52" t="n">
        <f aca="false">M74*O74-P74</f>
        <v>3133.02</v>
      </c>
      <c r="R74" s="53" t="n">
        <v>0.18</v>
      </c>
      <c r="S74" s="47" t="s">
        <v>39</v>
      </c>
      <c r="T74" s="52" t="n">
        <f aca="false">IF(S74="IGST",ROUND(Q74*R74,2),0)</f>
        <v>0</v>
      </c>
      <c r="U74" s="52" t="n">
        <f aca="false">IF(S74="CGST+SGST",ROUND(Q74*R74/2,2),0)</f>
        <v>281.97</v>
      </c>
      <c r="V74" s="52" t="n">
        <f aca="false">U74</f>
        <v>281.97</v>
      </c>
      <c r="W74" s="51" t="n">
        <v>0</v>
      </c>
      <c r="X74" s="52" t="n">
        <f aca="false">Q74+T74+U74+V74+W74</f>
        <v>3696.96</v>
      </c>
      <c r="Y74" s="52" t="n">
        <f aca="false">ROUND(Q74*AT74,0)</f>
        <v>63</v>
      </c>
      <c r="Z74" s="52" t="n">
        <f aca="false">X74-Y74</f>
        <v>3633.96</v>
      </c>
      <c r="AA74" s="47"/>
      <c r="AB74" s="47"/>
      <c r="AC74" s="47"/>
      <c r="AD74" s="47" t="s">
        <v>443</v>
      </c>
      <c r="AE74" s="47" t="s">
        <v>444</v>
      </c>
      <c r="AF74" s="47" t="s">
        <v>443</v>
      </c>
      <c r="AG74" s="47"/>
      <c r="AH74" s="48"/>
      <c r="AI74" s="47"/>
      <c r="AJ74" s="47" t="s">
        <v>402</v>
      </c>
      <c r="AK74" s="47" t="s">
        <v>445</v>
      </c>
      <c r="AL74" s="47"/>
      <c r="AM74" s="47"/>
      <c r="AN74" s="47"/>
      <c r="AO74" s="47"/>
      <c r="AP74" s="47"/>
      <c r="AQ74" s="47"/>
      <c r="AR74" s="47" t="s">
        <v>416</v>
      </c>
      <c r="AS74" s="47" t="s">
        <v>203</v>
      </c>
      <c r="AT74" s="54" t="n">
        <v>0.02</v>
      </c>
    </row>
    <row r="75" customFormat="false" ht="14.25" hidden="false" customHeight="true" outlineLevel="0" collapsed="false">
      <c r="A75" s="47" t="n">
        <v>71</v>
      </c>
      <c r="B75" s="47" t="s">
        <v>446</v>
      </c>
      <c r="C75" s="47" t="s">
        <v>447</v>
      </c>
      <c r="D75" s="48" t="n">
        <v>46265</v>
      </c>
      <c r="E75" s="49" t="n">
        <f aca="false">YEAR(D75)</f>
        <v>2026</v>
      </c>
      <c r="F75" s="50" t="str">
        <f aca="false">TEXT(D75,"mmm")</f>
        <v>Aug</v>
      </c>
      <c r="G75" s="47" t="s">
        <v>397</v>
      </c>
      <c r="H75" s="47" t="s">
        <v>448</v>
      </c>
      <c r="I75" s="47"/>
      <c r="J75" s="47" t="s">
        <v>449</v>
      </c>
      <c r="K75" s="47" t="s">
        <v>366</v>
      </c>
      <c r="L75" s="47"/>
      <c r="M75" s="47" t="n">
        <v>1</v>
      </c>
      <c r="N75" s="47" t="s">
        <v>171</v>
      </c>
      <c r="O75" s="51" t="n">
        <v>2444.63</v>
      </c>
      <c r="P75" s="51" t="n">
        <v>0</v>
      </c>
      <c r="Q75" s="52" t="n">
        <f aca="false">M75*O75-P75</f>
        <v>2444.63</v>
      </c>
      <c r="R75" s="53" t="n">
        <v>0.18</v>
      </c>
      <c r="S75" s="47" t="s">
        <v>37</v>
      </c>
      <c r="T75" s="52" t="n">
        <f aca="false">IF(S75="IGST",ROUND(Q75*R75,2),0)</f>
        <v>440.03</v>
      </c>
      <c r="U75" s="52" t="n">
        <f aca="false">IF(S75="CGST+SGST",ROUND(Q75*R75/2,2),0)</f>
        <v>0</v>
      </c>
      <c r="V75" s="52" t="n">
        <f aca="false">U75</f>
        <v>0</v>
      </c>
      <c r="W75" s="51" t="n">
        <v>0</v>
      </c>
      <c r="X75" s="52" t="n">
        <f aca="false">Q75+T75+U75+V75+W75</f>
        <v>2884.66</v>
      </c>
      <c r="Y75" s="52" t="n">
        <f aca="false">ROUND(Q75*AT75,0)</f>
        <v>49</v>
      </c>
      <c r="Z75" s="52" t="n">
        <f aca="false">X75-Y75</f>
        <v>2835.66</v>
      </c>
      <c r="AA75" s="47"/>
      <c r="AB75" s="47"/>
      <c r="AC75" s="47"/>
      <c r="AD75" s="47" t="s">
        <v>450</v>
      </c>
      <c r="AE75" s="47" t="s">
        <v>116</v>
      </c>
      <c r="AF75" s="47" t="s">
        <v>117</v>
      </c>
      <c r="AG75" s="47"/>
      <c r="AH75" s="48"/>
      <c r="AI75" s="47"/>
      <c r="AJ75" s="47" t="s">
        <v>402</v>
      </c>
      <c r="AK75" s="47" t="s">
        <v>451</v>
      </c>
      <c r="AL75" s="47"/>
      <c r="AM75" s="47"/>
      <c r="AN75" s="47"/>
      <c r="AO75" s="47"/>
      <c r="AP75" s="47"/>
      <c r="AQ75" s="47"/>
      <c r="AR75" s="47" t="s">
        <v>410</v>
      </c>
      <c r="AS75" s="47" t="s">
        <v>203</v>
      </c>
      <c r="AT75" s="54" t="n">
        <v>0.02</v>
      </c>
    </row>
    <row r="76" customFormat="false" ht="14.25" hidden="false" customHeight="true" outlineLevel="0" collapsed="false">
      <c r="A76" s="47" t="n">
        <v>72</v>
      </c>
      <c r="B76" s="47" t="s">
        <v>452</v>
      </c>
      <c r="C76" s="47" t="s">
        <v>453</v>
      </c>
      <c r="D76" s="48" t="n">
        <v>46265</v>
      </c>
      <c r="E76" s="49" t="n">
        <f aca="false">YEAR(D76)</f>
        <v>2026</v>
      </c>
      <c r="F76" s="50" t="str">
        <f aca="false">TEXT(D76,"mmm")</f>
        <v>Aug</v>
      </c>
      <c r="G76" s="47" t="s">
        <v>397</v>
      </c>
      <c r="H76" s="47" t="s">
        <v>454</v>
      </c>
      <c r="I76" s="47"/>
      <c r="J76" s="47" t="s">
        <v>455</v>
      </c>
      <c r="K76" s="47" t="s">
        <v>366</v>
      </c>
      <c r="L76" s="47"/>
      <c r="M76" s="47" t="n">
        <v>1</v>
      </c>
      <c r="N76" s="47" t="s">
        <v>171</v>
      </c>
      <c r="O76" s="51" t="n">
        <v>4047.15</v>
      </c>
      <c r="P76" s="51" t="n">
        <v>0</v>
      </c>
      <c r="Q76" s="52" t="n">
        <f aca="false">M76*O76-P76</f>
        <v>4047.15</v>
      </c>
      <c r="R76" s="53" t="n">
        <v>0.18</v>
      </c>
      <c r="S76" s="47" t="s">
        <v>37</v>
      </c>
      <c r="T76" s="52" t="n">
        <f aca="false">IF(S76="IGST",ROUND(Q76*R76,2),0)</f>
        <v>728.49</v>
      </c>
      <c r="U76" s="52" t="n">
        <f aca="false">IF(S76="CGST+SGST",ROUND(Q76*R76/2,2),0)</f>
        <v>0</v>
      </c>
      <c r="V76" s="52" t="n">
        <f aca="false">U76</f>
        <v>0</v>
      </c>
      <c r="W76" s="51" t="n">
        <v>0</v>
      </c>
      <c r="X76" s="52" t="n">
        <f aca="false">Q76+T76+U76+V76+W76</f>
        <v>4775.64</v>
      </c>
      <c r="Y76" s="52" t="n">
        <f aca="false">ROUND(Q76*AT76,0)</f>
        <v>81</v>
      </c>
      <c r="Z76" s="52" t="n">
        <f aca="false">X76-Y76</f>
        <v>4694.64</v>
      </c>
      <c r="AA76" s="47"/>
      <c r="AB76" s="47"/>
      <c r="AC76" s="47"/>
      <c r="AD76" s="47" t="s">
        <v>115</v>
      </c>
      <c r="AE76" s="47" t="s">
        <v>116</v>
      </c>
      <c r="AF76" s="47" t="s">
        <v>117</v>
      </c>
      <c r="AG76" s="47"/>
      <c r="AH76" s="48"/>
      <c r="AI76" s="47"/>
      <c r="AJ76" s="47" t="s">
        <v>402</v>
      </c>
      <c r="AK76" s="47" t="s">
        <v>456</v>
      </c>
      <c r="AL76" s="47"/>
      <c r="AM76" s="47"/>
      <c r="AN76" s="47"/>
      <c r="AO76" s="47"/>
      <c r="AP76" s="47"/>
      <c r="AQ76" s="47"/>
      <c r="AR76" s="47" t="s">
        <v>410</v>
      </c>
      <c r="AS76" s="47" t="s">
        <v>203</v>
      </c>
      <c r="AT76" s="54" t="n">
        <v>0.02</v>
      </c>
    </row>
    <row r="77" customFormat="false" ht="14.25" hidden="false" customHeight="true" outlineLevel="0" collapsed="false">
      <c r="A77" s="47" t="n">
        <v>73</v>
      </c>
      <c r="B77" s="47" t="s">
        <v>457</v>
      </c>
      <c r="C77" s="47" t="s">
        <v>458</v>
      </c>
      <c r="D77" s="48" t="n">
        <v>46265</v>
      </c>
      <c r="E77" s="49" t="n">
        <f aca="false">YEAR(D77)</f>
        <v>2026</v>
      </c>
      <c r="F77" s="50" t="str">
        <f aca="false">TEXT(D77,"mmm")</f>
        <v>Aug</v>
      </c>
      <c r="G77" s="47" t="s">
        <v>397</v>
      </c>
      <c r="H77" s="47" t="s">
        <v>459</v>
      </c>
      <c r="I77" s="47"/>
      <c r="J77" s="47" t="s">
        <v>460</v>
      </c>
      <c r="K77" s="47" t="s">
        <v>366</v>
      </c>
      <c r="L77" s="47"/>
      <c r="M77" s="47" t="n">
        <v>1</v>
      </c>
      <c r="N77" s="47" t="s">
        <v>171</v>
      </c>
      <c r="O77" s="51" t="n">
        <v>3996.77</v>
      </c>
      <c r="P77" s="51" t="n">
        <v>0</v>
      </c>
      <c r="Q77" s="52" t="n">
        <f aca="false">M77*O77-P77</f>
        <v>3996.77</v>
      </c>
      <c r="R77" s="53" t="n">
        <v>0.18</v>
      </c>
      <c r="S77" s="47" t="s">
        <v>39</v>
      </c>
      <c r="T77" s="52" t="n">
        <f aca="false">IF(S77="IGST",ROUND(Q77*R77,2),0)</f>
        <v>0</v>
      </c>
      <c r="U77" s="52" t="n">
        <f aca="false">IF(S77="CGST+SGST",ROUND(Q77*R77/2,2),0)</f>
        <v>359.71</v>
      </c>
      <c r="V77" s="52" t="n">
        <f aca="false">U77</f>
        <v>359.71</v>
      </c>
      <c r="W77" s="51" t="n">
        <v>0</v>
      </c>
      <c r="X77" s="52" t="n">
        <f aca="false">Q77+T77+U77+V77+W77</f>
        <v>4716.19</v>
      </c>
      <c r="Y77" s="52" t="n">
        <f aca="false">ROUND(Q77*AT77,0)</f>
        <v>80</v>
      </c>
      <c r="Z77" s="52" t="n">
        <f aca="false">X77-Y77</f>
        <v>4636.19</v>
      </c>
      <c r="AA77" s="47"/>
      <c r="AB77" s="47"/>
      <c r="AC77" s="47"/>
      <c r="AD77" s="47" t="s">
        <v>267</v>
      </c>
      <c r="AE77" s="47" t="s">
        <v>461</v>
      </c>
      <c r="AF77" s="47" t="s">
        <v>267</v>
      </c>
      <c r="AG77" s="47"/>
      <c r="AH77" s="48"/>
      <c r="AI77" s="47"/>
      <c r="AJ77" s="47" t="s">
        <v>402</v>
      </c>
      <c r="AK77" s="47" t="s">
        <v>462</v>
      </c>
      <c r="AL77" s="47"/>
      <c r="AM77" s="47"/>
      <c r="AN77" s="47"/>
      <c r="AO77" s="47"/>
      <c r="AP77" s="47"/>
      <c r="AQ77" s="47"/>
      <c r="AR77" s="47" t="s">
        <v>416</v>
      </c>
      <c r="AS77" s="47" t="s">
        <v>203</v>
      </c>
      <c r="AT77" s="54" t="n">
        <v>0.02</v>
      </c>
    </row>
    <row r="78" customFormat="false" ht="14.25" hidden="false" customHeight="true" outlineLevel="0" collapsed="false">
      <c r="A78" s="47" t="n">
        <v>74</v>
      </c>
      <c r="B78" s="47" t="s">
        <v>463</v>
      </c>
      <c r="C78" s="47" t="s">
        <v>464</v>
      </c>
      <c r="D78" s="48" t="n">
        <v>46265</v>
      </c>
      <c r="E78" s="49" t="n">
        <f aca="false">YEAR(D78)</f>
        <v>2026</v>
      </c>
      <c r="F78" s="50" t="str">
        <f aca="false">TEXT(D78,"mmm")</f>
        <v>Aug</v>
      </c>
      <c r="G78" s="47" t="s">
        <v>397</v>
      </c>
      <c r="H78" s="47" t="s">
        <v>465</v>
      </c>
      <c r="I78" s="47"/>
      <c r="J78" s="47" t="s">
        <v>466</v>
      </c>
      <c r="K78" s="47" t="s">
        <v>366</v>
      </c>
      <c r="L78" s="47"/>
      <c r="M78" s="47" t="n">
        <v>1</v>
      </c>
      <c r="N78" s="47" t="s">
        <v>171</v>
      </c>
      <c r="O78" s="51" t="n">
        <v>3689.72</v>
      </c>
      <c r="P78" s="51" t="n">
        <v>0</v>
      </c>
      <c r="Q78" s="52" t="n">
        <f aca="false">M78*O78-P78</f>
        <v>3689.72</v>
      </c>
      <c r="R78" s="53" t="n">
        <v>0.18</v>
      </c>
      <c r="S78" s="47" t="s">
        <v>39</v>
      </c>
      <c r="T78" s="52" t="n">
        <f aca="false">IF(S78="IGST",ROUND(Q78*R78,2),0)</f>
        <v>0</v>
      </c>
      <c r="U78" s="52" t="n">
        <f aca="false">IF(S78="CGST+SGST",ROUND(Q78*R78/2,2),0)</f>
        <v>332.07</v>
      </c>
      <c r="V78" s="52" t="n">
        <f aca="false">U78</f>
        <v>332.07</v>
      </c>
      <c r="W78" s="51" t="n">
        <v>0</v>
      </c>
      <c r="X78" s="52" t="n">
        <f aca="false">Q78+T78+U78+V78+W78</f>
        <v>4353.86</v>
      </c>
      <c r="Y78" s="52" t="n">
        <f aca="false">ROUND(Q78*AT78,0)</f>
        <v>74</v>
      </c>
      <c r="Z78" s="52" t="n">
        <f aca="false">X78-Y78</f>
        <v>4279.86</v>
      </c>
      <c r="AA78" s="47"/>
      <c r="AB78" s="47"/>
      <c r="AC78" s="47"/>
      <c r="AD78" s="47" t="s">
        <v>298</v>
      </c>
      <c r="AE78" s="47" t="s">
        <v>299</v>
      </c>
      <c r="AF78" s="47" t="s">
        <v>298</v>
      </c>
      <c r="AG78" s="47"/>
      <c r="AH78" s="48"/>
      <c r="AI78" s="47"/>
      <c r="AJ78" s="47" t="s">
        <v>402</v>
      </c>
      <c r="AK78" s="47" t="s">
        <v>467</v>
      </c>
      <c r="AL78" s="47"/>
      <c r="AM78" s="47"/>
      <c r="AN78" s="47"/>
      <c r="AO78" s="47"/>
      <c r="AP78" s="47"/>
      <c r="AQ78" s="47"/>
      <c r="AR78" s="47" t="s">
        <v>416</v>
      </c>
      <c r="AS78" s="47" t="s">
        <v>203</v>
      </c>
      <c r="AT78" s="54" t="n">
        <v>0.02</v>
      </c>
    </row>
    <row r="79" customFormat="false" ht="14.25" hidden="false" customHeight="true" outlineLevel="0" collapsed="false">
      <c r="A79" s="47" t="n">
        <v>75</v>
      </c>
      <c r="B79" s="47" t="s">
        <v>468</v>
      </c>
      <c r="C79" s="47" t="s">
        <v>469</v>
      </c>
      <c r="D79" s="48" t="n">
        <v>46265</v>
      </c>
      <c r="E79" s="49" t="n">
        <f aca="false">YEAR(D79)</f>
        <v>2026</v>
      </c>
      <c r="F79" s="50" t="str">
        <f aca="false">TEXT(D79,"mmm")</f>
        <v>Aug</v>
      </c>
      <c r="G79" s="47" t="s">
        <v>397</v>
      </c>
      <c r="H79" s="47" t="s">
        <v>470</v>
      </c>
      <c r="I79" s="47"/>
      <c r="J79" s="47" t="s">
        <v>471</v>
      </c>
      <c r="K79" s="47" t="s">
        <v>366</v>
      </c>
      <c r="L79" s="47"/>
      <c r="M79" s="47" t="n">
        <v>1</v>
      </c>
      <c r="N79" s="47" t="s">
        <v>171</v>
      </c>
      <c r="O79" s="51" t="n">
        <v>1685.99</v>
      </c>
      <c r="P79" s="51" t="n">
        <v>0</v>
      </c>
      <c r="Q79" s="52" t="n">
        <f aca="false">M79*O79-P79</f>
        <v>1685.99</v>
      </c>
      <c r="R79" s="53" t="n">
        <v>0.18</v>
      </c>
      <c r="S79" s="47" t="s">
        <v>39</v>
      </c>
      <c r="T79" s="52" t="n">
        <f aca="false">IF(S79="IGST",ROUND(Q79*R79,2),0)</f>
        <v>0</v>
      </c>
      <c r="U79" s="52" t="n">
        <f aca="false">IF(S79="CGST+SGST",ROUND(Q79*R79/2,2),0)</f>
        <v>151.74</v>
      </c>
      <c r="V79" s="52" t="n">
        <f aca="false">U79</f>
        <v>151.74</v>
      </c>
      <c r="W79" s="51" t="n">
        <v>0</v>
      </c>
      <c r="X79" s="52" t="n">
        <f aca="false">Q79+T79+U79+V79+W79</f>
        <v>1989.47</v>
      </c>
      <c r="Y79" s="52" t="n">
        <f aca="false">ROUND(Q79*AT79,0)</f>
        <v>34</v>
      </c>
      <c r="Z79" s="52" t="n">
        <f aca="false">X79-Y79</f>
        <v>1955.47</v>
      </c>
      <c r="AA79" s="47"/>
      <c r="AB79" s="47"/>
      <c r="AC79" s="47"/>
      <c r="AD79" s="47" t="s">
        <v>137</v>
      </c>
      <c r="AE79" s="47" t="s">
        <v>186</v>
      </c>
      <c r="AF79" s="47" t="s">
        <v>137</v>
      </c>
      <c r="AG79" s="47"/>
      <c r="AH79" s="48"/>
      <c r="AI79" s="47"/>
      <c r="AJ79" s="47" t="s">
        <v>402</v>
      </c>
      <c r="AK79" s="47" t="s">
        <v>472</v>
      </c>
      <c r="AL79" s="47"/>
      <c r="AM79" s="47"/>
      <c r="AN79" s="47"/>
      <c r="AO79" s="47"/>
      <c r="AP79" s="47"/>
      <c r="AQ79" s="47"/>
      <c r="AR79" s="47" t="s">
        <v>416</v>
      </c>
      <c r="AS79" s="47" t="s">
        <v>203</v>
      </c>
      <c r="AT79" s="54" t="n">
        <v>0.02</v>
      </c>
    </row>
    <row r="80" customFormat="false" ht="14.25" hidden="false" customHeight="true" outlineLevel="0" collapsed="false">
      <c r="A80" s="47" t="n">
        <v>76</v>
      </c>
      <c r="B80" s="47" t="s">
        <v>473</v>
      </c>
      <c r="C80" s="47" t="s">
        <v>474</v>
      </c>
      <c r="D80" s="48" t="n">
        <v>46265</v>
      </c>
      <c r="E80" s="49" t="n">
        <f aca="false">YEAR(D80)</f>
        <v>2026</v>
      </c>
      <c r="F80" s="50" t="str">
        <f aca="false">TEXT(D80,"mmm")</f>
        <v>Aug</v>
      </c>
      <c r="G80" s="47" t="s">
        <v>397</v>
      </c>
      <c r="H80" s="47" t="s">
        <v>475</v>
      </c>
      <c r="I80" s="47"/>
      <c r="J80" s="47" t="s">
        <v>476</v>
      </c>
      <c r="K80" s="47" t="s">
        <v>366</v>
      </c>
      <c r="L80" s="47"/>
      <c r="M80" s="47" t="n">
        <v>1</v>
      </c>
      <c r="N80" s="47" t="s">
        <v>171</v>
      </c>
      <c r="O80" s="51" t="n">
        <v>3701.29</v>
      </c>
      <c r="P80" s="51" t="n">
        <v>0</v>
      </c>
      <c r="Q80" s="52" t="n">
        <f aca="false">M80*O80-P80</f>
        <v>3701.29</v>
      </c>
      <c r="R80" s="53" t="n">
        <v>0.18</v>
      </c>
      <c r="S80" s="47" t="s">
        <v>39</v>
      </c>
      <c r="T80" s="52" t="n">
        <f aca="false">IF(S80="IGST",ROUND(Q80*R80,2),0)</f>
        <v>0</v>
      </c>
      <c r="U80" s="52" t="n">
        <f aca="false">IF(S80="CGST+SGST",ROUND(Q80*R80/2,2),0)</f>
        <v>333.12</v>
      </c>
      <c r="V80" s="52" t="n">
        <f aca="false">U80</f>
        <v>333.12</v>
      </c>
      <c r="W80" s="51" t="n">
        <v>0</v>
      </c>
      <c r="X80" s="52" t="n">
        <f aca="false">Q80+T80+U80+V80+W80</f>
        <v>4367.53</v>
      </c>
      <c r="Y80" s="52" t="n">
        <f aca="false">ROUND(Q80*AT80,0)</f>
        <v>74</v>
      </c>
      <c r="Z80" s="52" t="n">
        <f aca="false">X80-Y80</f>
        <v>4293.53</v>
      </c>
      <c r="AA80" s="47"/>
      <c r="AB80" s="47"/>
      <c r="AC80" s="47"/>
      <c r="AD80" s="47" t="s">
        <v>477</v>
      </c>
      <c r="AE80" s="47" t="s">
        <v>478</v>
      </c>
      <c r="AF80" s="47" t="s">
        <v>477</v>
      </c>
      <c r="AG80" s="47"/>
      <c r="AH80" s="48"/>
      <c r="AI80" s="47"/>
      <c r="AJ80" s="47" t="s">
        <v>402</v>
      </c>
      <c r="AK80" s="47" t="s">
        <v>479</v>
      </c>
      <c r="AL80" s="47"/>
      <c r="AM80" s="47"/>
      <c r="AN80" s="47"/>
      <c r="AO80" s="47"/>
      <c r="AP80" s="47"/>
      <c r="AQ80" s="47"/>
      <c r="AR80" s="47" t="s">
        <v>416</v>
      </c>
      <c r="AS80" s="47" t="s">
        <v>203</v>
      </c>
      <c r="AT80" s="54" t="n">
        <v>0.02</v>
      </c>
    </row>
    <row r="81" customFormat="false" ht="14.25" hidden="false" customHeight="true" outlineLevel="0" collapsed="false">
      <c r="A81" s="47" t="n">
        <v>77</v>
      </c>
      <c r="B81" s="47" t="s">
        <v>480</v>
      </c>
      <c r="C81" s="47" t="s">
        <v>481</v>
      </c>
      <c r="D81" s="48" t="n">
        <v>46170</v>
      </c>
      <c r="E81" s="49" t="n">
        <f aca="false">YEAR(D81)</f>
        <v>2026</v>
      </c>
      <c r="F81" s="50" t="str">
        <f aca="false">TEXT(D81,"mmm")</f>
        <v>May</v>
      </c>
      <c r="G81" s="47" t="s">
        <v>20</v>
      </c>
      <c r="H81" s="47" t="s">
        <v>482</v>
      </c>
      <c r="I81" s="47"/>
      <c r="J81" s="47" t="s">
        <v>483</v>
      </c>
      <c r="K81" s="47" t="s">
        <v>484</v>
      </c>
      <c r="L81" s="47"/>
      <c r="M81" s="47" t="n">
        <v>1</v>
      </c>
      <c r="N81" s="47" t="s">
        <v>171</v>
      </c>
      <c r="O81" s="51" t="n">
        <v>23390.97</v>
      </c>
      <c r="P81" s="51" t="n">
        <v>0</v>
      </c>
      <c r="Q81" s="52" t="n">
        <f aca="false">M81*O81-P81</f>
        <v>23390.97</v>
      </c>
      <c r="R81" s="53" t="n">
        <v>0.18</v>
      </c>
      <c r="S81" s="47" t="s">
        <v>39</v>
      </c>
      <c r="T81" s="52" t="n">
        <f aca="false">IF(S81="IGST",ROUND(Q81*R81,2),0)</f>
        <v>0</v>
      </c>
      <c r="U81" s="52" t="n">
        <f aca="false">IF(S81="CGST+SGST",ROUND(Q81*R81/2,2),0)</f>
        <v>2105.19</v>
      </c>
      <c r="V81" s="52" t="n">
        <f aca="false">U81</f>
        <v>2105.19</v>
      </c>
      <c r="W81" s="51" t="n">
        <v>0</v>
      </c>
      <c r="X81" s="52" t="n">
        <f aca="false">Q81+T81+U81+V81+W81</f>
        <v>27601.35</v>
      </c>
      <c r="Y81" s="52" t="n">
        <f aca="false">ROUND(Q81*AT81,0)</f>
        <v>468</v>
      </c>
      <c r="Z81" s="52" t="n">
        <f aca="false">X81-Y81</f>
        <v>27133.35</v>
      </c>
      <c r="AA81" s="47"/>
      <c r="AB81" s="47"/>
      <c r="AC81" s="47"/>
      <c r="AD81" s="47" t="s">
        <v>177</v>
      </c>
      <c r="AE81" s="47" t="s">
        <v>176</v>
      </c>
      <c r="AF81" s="47" t="s">
        <v>177</v>
      </c>
      <c r="AG81" s="47"/>
      <c r="AH81" s="48"/>
      <c r="AI81" s="47"/>
      <c r="AJ81" s="47" t="s">
        <v>485</v>
      </c>
      <c r="AK81" s="47" t="s">
        <v>486</v>
      </c>
      <c r="AL81" s="47"/>
      <c r="AM81" s="47"/>
      <c r="AN81" s="47"/>
      <c r="AO81" s="47"/>
      <c r="AP81" s="47"/>
      <c r="AQ81" s="47"/>
      <c r="AR81" s="47" t="s">
        <v>312</v>
      </c>
      <c r="AS81" s="47" t="s">
        <v>203</v>
      </c>
      <c r="AT81" s="54" t="n">
        <v>0.02</v>
      </c>
    </row>
    <row r="82" customFormat="false" ht="14.25" hidden="false" customHeight="true" outlineLevel="0" collapsed="false">
      <c r="A82" s="47" t="n">
        <v>78</v>
      </c>
      <c r="B82" s="47" t="s">
        <v>480</v>
      </c>
      <c r="C82" s="47" t="s">
        <v>481</v>
      </c>
      <c r="D82" s="48" t="n">
        <v>46170</v>
      </c>
      <c r="E82" s="49" t="n">
        <f aca="false">YEAR(D82)</f>
        <v>2026</v>
      </c>
      <c r="F82" s="50" t="str">
        <f aca="false">TEXT(D82,"mmm")</f>
        <v>May</v>
      </c>
      <c r="G82" s="47" t="s">
        <v>20</v>
      </c>
      <c r="H82" s="47" t="s">
        <v>482</v>
      </c>
      <c r="I82" s="47"/>
      <c r="J82" s="47" t="s">
        <v>487</v>
      </c>
      <c r="K82" s="47" t="s">
        <v>484</v>
      </c>
      <c r="L82" s="47"/>
      <c r="M82" s="47" t="n">
        <v>1133</v>
      </c>
      <c r="N82" s="47" t="s">
        <v>488</v>
      </c>
      <c r="O82" s="51" t="n">
        <v>32</v>
      </c>
      <c r="P82" s="51" t="n">
        <v>0</v>
      </c>
      <c r="Q82" s="52" t="n">
        <f aca="false">M82*O82-P82</f>
        <v>36256</v>
      </c>
      <c r="R82" s="53" t="n">
        <v>0.18</v>
      </c>
      <c r="S82" s="47" t="s">
        <v>39</v>
      </c>
      <c r="T82" s="52" t="n">
        <f aca="false">IF(S82="IGST",ROUND(Q82*R82,2),0)</f>
        <v>0</v>
      </c>
      <c r="U82" s="52" t="n">
        <f aca="false">IF(S82="CGST+SGST",ROUND(Q82*R82/2,2),0)</f>
        <v>3263.04</v>
      </c>
      <c r="V82" s="52" t="n">
        <f aca="false">U82</f>
        <v>3263.04</v>
      </c>
      <c r="W82" s="51" t="n">
        <v>0</v>
      </c>
      <c r="X82" s="52" t="n">
        <f aca="false">Q82+T82+U82+V82+W82</f>
        <v>42782.08</v>
      </c>
      <c r="Y82" s="52" t="n">
        <f aca="false">ROUND(Q82*AT82,0)</f>
        <v>725</v>
      </c>
      <c r="Z82" s="52" t="n">
        <f aca="false">X82-Y82</f>
        <v>42057.08</v>
      </c>
      <c r="AA82" s="47"/>
      <c r="AB82" s="47"/>
      <c r="AC82" s="47"/>
      <c r="AD82" s="47" t="s">
        <v>177</v>
      </c>
      <c r="AE82" s="47" t="s">
        <v>176</v>
      </c>
      <c r="AF82" s="47" t="s">
        <v>177</v>
      </c>
      <c r="AG82" s="47"/>
      <c r="AH82" s="48"/>
      <c r="AI82" s="47"/>
      <c r="AJ82" s="47" t="s">
        <v>485</v>
      </c>
      <c r="AK82" s="47" t="s">
        <v>486</v>
      </c>
      <c r="AL82" s="47"/>
      <c r="AM82" s="47"/>
      <c r="AN82" s="47"/>
      <c r="AO82" s="47"/>
      <c r="AP82" s="47"/>
      <c r="AQ82" s="47"/>
      <c r="AR82" s="47" t="s">
        <v>312</v>
      </c>
      <c r="AS82" s="47" t="s">
        <v>203</v>
      </c>
      <c r="AT82" s="54" t="n">
        <v>0.02</v>
      </c>
    </row>
    <row r="83" customFormat="false" ht="14.25" hidden="false" customHeight="true" outlineLevel="0" collapsed="false">
      <c r="A83" s="47" t="n">
        <v>79</v>
      </c>
      <c r="B83" s="47" t="s">
        <v>480</v>
      </c>
      <c r="C83" s="47" t="s">
        <v>481</v>
      </c>
      <c r="D83" s="48" t="n">
        <v>46170</v>
      </c>
      <c r="E83" s="49" t="n">
        <f aca="false">YEAR(D83)</f>
        <v>2026</v>
      </c>
      <c r="F83" s="50" t="str">
        <f aca="false">TEXT(D83,"mmm")</f>
        <v>May</v>
      </c>
      <c r="G83" s="47" t="s">
        <v>20</v>
      </c>
      <c r="H83" s="47" t="s">
        <v>482</v>
      </c>
      <c r="I83" s="47"/>
      <c r="J83" s="47" t="s">
        <v>489</v>
      </c>
      <c r="K83" s="47" t="s">
        <v>484</v>
      </c>
      <c r="L83" s="47"/>
      <c r="M83" s="47" t="n">
        <v>1133</v>
      </c>
      <c r="N83" s="47" t="s">
        <v>488</v>
      </c>
      <c r="O83" s="51" t="n">
        <v>32</v>
      </c>
      <c r="P83" s="51" t="n">
        <v>0</v>
      </c>
      <c r="Q83" s="52" t="n">
        <f aca="false">M83*O83-P83</f>
        <v>36256</v>
      </c>
      <c r="R83" s="53" t="n">
        <v>0.18</v>
      </c>
      <c r="S83" s="47" t="s">
        <v>39</v>
      </c>
      <c r="T83" s="52" t="n">
        <f aca="false">IF(S83="IGST",ROUND(Q83*R83,2),0)</f>
        <v>0</v>
      </c>
      <c r="U83" s="52" t="n">
        <f aca="false">IF(S83="CGST+SGST",ROUND(Q83*R83/2,2),0)</f>
        <v>3263.04</v>
      </c>
      <c r="V83" s="52" t="n">
        <f aca="false">U83</f>
        <v>3263.04</v>
      </c>
      <c r="W83" s="51" t="n">
        <v>0</v>
      </c>
      <c r="X83" s="52" t="n">
        <f aca="false">Q83+T83+U83+V83+W83</f>
        <v>42782.08</v>
      </c>
      <c r="Y83" s="52" t="n">
        <f aca="false">ROUND(Q83*AT83,0)</f>
        <v>725</v>
      </c>
      <c r="Z83" s="52" t="n">
        <f aca="false">X83-Y83</f>
        <v>42057.08</v>
      </c>
      <c r="AA83" s="47"/>
      <c r="AB83" s="47"/>
      <c r="AC83" s="47"/>
      <c r="AD83" s="47" t="s">
        <v>177</v>
      </c>
      <c r="AE83" s="47" t="s">
        <v>176</v>
      </c>
      <c r="AF83" s="47" t="s">
        <v>177</v>
      </c>
      <c r="AG83" s="47"/>
      <c r="AH83" s="48"/>
      <c r="AI83" s="47"/>
      <c r="AJ83" s="47" t="s">
        <v>485</v>
      </c>
      <c r="AK83" s="47" t="s">
        <v>486</v>
      </c>
      <c r="AL83" s="47"/>
      <c r="AM83" s="47"/>
      <c r="AN83" s="47"/>
      <c r="AO83" s="47"/>
      <c r="AP83" s="47"/>
      <c r="AQ83" s="47"/>
      <c r="AR83" s="47" t="s">
        <v>312</v>
      </c>
      <c r="AS83" s="47" t="s">
        <v>203</v>
      </c>
      <c r="AT83" s="54" t="n">
        <v>0.02</v>
      </c>
    </row>
    <row r="84" customFormat="false" ht="14.25" hidden="false" customHeight="true" outlineLevel="0" collapsed="false">
      <c r="A84" s="47" t="n">
        <v>80</v>
      </c>
      <c r="B84" s="47" t="s">
        <v>490</v>
      </c>
      <c r="C84" s="47" t="s">
        <v>491</v>
      </c>
      <c r="D84" s="48" t="n">
        <v>46195</v>
      </c>
      <c r="E84" s="49" t="n">
        <f aca="false">YEAR(D84)</f>
        <v>2026</v>
      </c>
      <c r="F84" s="50" t="str">
        <f aca="false">TEXT(D84,"mmm")</f>
        <v>Jun</v>
      </c>
      <c r="G84" s="47" t="s">
        <v>20</v>
      </c>
      <c r="H84" s="47" t="s">
        <v>482</v>
      </c>
      <c r="I84" s="47"/>
      <c r="J84" s="47" t="s">
        <v>492</v>
      </c>
      <c r="K84" s="47" t="s">
        <v>484</v>
      </c>
      <c r="L84" s="47"/>
      <c r="M84" s="47" t="n">
        <v>1133</v>
      </c>
      <c r="N84" s="47" t="s">
        <v>488</v>
      </c>
      <c r="O84" s="51" t="n">
        <v>32</v>
      </c>
      <c r="P84" s="51" t="n">
        <v>0</v>
      </c>
      <c r="Q84" s="52" t="n">
        <f aca="false">M84*O84-P84</f>
        <v>36256</v>
      </c>
      <c r="R84" s="53" t="n">
        <v>0.18</v>
      </c>
      <c r="S84" s="47" t="s">
        <v>39</v>
      </c>
      <c r="T84" s="52" t="n">
        <f aca="false">IF(S84="IGST",ROUND(Q84*R84,2),0)</f>
        <v>0</v>
      </c>
      <c r="U84" s="52" t="n">
        <f aca="false">IF(S84="CGST+SGST",ROUND(Q84*R84/2,2),0)</f>
        <v>3263.04</v>
      </c>
      <c r="V84" s="52" t="n">
        <f aca="false">U84</f>
        <v>3263.04</v>
      </c>
      <c r="W84" s="51" t="n">
        <v>0</v>
      </c>
      <c r="X84" s="52" t="n">
        <f aca="false">Q84+T84+U84+V84+W84</f>
        <v>42782.08</v>
      </c>
      <c r="Y84" s="52" t="n">
        <f aca="false">ROUND(Q84*AT84,0)</f>
        <v>725</v>
      </c>
      <c r="Z84" s="52" t="n">
        <f aca="false">X84-Y84</f>
        <v>42057.08</v>
      </c>
      <c r="AA84" s="47"/>
      <c r="AB84" s="47"/>
      <c r="AC84" s="47"/>
      <c r="AD84" s="47" t="s">
        <v>177</v>
      </c>
      <c r="AE84" s="47" t="s">
        <v>176</v>
      </c>
      <c r="AF84" s="47" t="s">
        <v>177</v>
      </c>
      <c r="AG84" s="47"/>
      <c r="AH84" s="48"/>
      <c r="AI84" s="47"/>
      <c r="AJ84" s="47" t="s">
        <v>485</v>
      </c>
      <c r="AK84" s="47" t="s">
        <v>493</v>
      </c>
      <c r="AL84" s="47"/>
      <c r="AM84" s="47"/>
      <c r="AN84" s="47"/>
      <c r="AO84" s="47"/>
      <c r="AP84" s="47"/>
      <c r="AQ84" s="47"/>
      <c r="AR84" s="47" t="s">
        <v>312</v>
      </c>
      <c r="AS84" s="47" t="s">
        <v>203</v>
      </c>
      <c r="AT84" s="54" t="n">
        <v>0.02</v>
      </c>
    </row>
    <row r="85" customFormat="false" ht="14.25" hidden="false" customHeight="true" outlineLevel="0" collapsed="false">
      <c r="A85" s="47" t="n">
        <v>81</v>
      </c>
      <c r="B85" s="47" t="s">
        <v>494</v>
      </c>
      <c r="C85" s="47" t="s">
        <v>495</v>
      </c>
      <c r="D85" s="48" t="n">
        <v>46211</v>
      </c>
      <c r="E85" s="49" t="n">
        <f aca="false">YEAR(D85)</f>
        <v>2026</v>
      </c>
      <c r="F85" s="50" t="str">
        <f aca="false">TEXT(D85,"mmm")</f>
        <v>Jul</v>
      </c>
      <c r="G85" s="47" t="s">
        <v>20</v>
      </c>
      <c r="H85" s="47" t="s">
        <v>482</v>
      </c>
      <c r="I85" s="47"/>
      <c r="J85" s="47" t="s">
        <v>496</v>
      </c>
      <c r="K85" s="47" t="s">
        <v>222</v>
      </c>
      <c r="L85" s="47"/>
      <c r="M85" s="47" t="n">
        <v>1</v>
      </c>
      <c r="N85" s="47" t="s">
        <v>171</v>
      </c>
      <c r="O85" s="51" t="n">
        <v>292387.1</v>
      </c>
      <c r="P85" s="51" t="n">
        <v>0</v>
      </c>
      <c r="Q85" s="52" t="n">
        <f aca="false">M85*O85-P85</f>
        <v>292387.1</v>
      </c>
      <c r="R85" s="53" t="n">
        <v>0.18</v>
      </c>
      <c r="S85" s="47" t="s">
        <v>39</v>
      </c>
      <c r="T85" s="52" t="n">
        <f aca="false">IF(S85="IGST",ROUND(Q85*R85,2),0)</f>
        <v>0</v>
      </c>
      <c r="U85" s="52" t="n">
        <f aca="false">IF(S85="CGST+SGST",ROUND(Q85*R85/2,2),0)</f>
        <v>26314.84</v>
      </c>
      <c r="V85" s="52" t="n">
        <f aca="false">U85</f>
        <v>26314.84</v>
      </c>
      <c r="W85" s="51" t="n">
        <v>0</v>
      </c>
      <c r="X85" s="52" t="n">
        <f aca="false">Q85+T85+U85+V85+W85</f>
        <v>345016.78</v>
      </c>
      <c r="Y85" s="52" t="n">
        <f aca="false">ROUND(Q85*AT85,0)</f>
        <v>29239</v>
      </c>
      <c r="Z85" s="52" t="n">
        <f aca="false">X85-Y85</f>
        <v>315777.78</v>
      </c>
      <c r="AA85" s="47"/>
      <c r="AB85" s="47"/>
      <c r="AC85" s="47"/>
      <c r="AD85" s="47" t="s">
        <v>177</v>
      </c>
      <c r="AE85" s="47" t="s">
        <v>176</v>
      </c>
      <c r="AF85" s="47" t="s">
        <v>177</v>
      </c>
      <c r="AG85" s="47"/>
      <c r="AH85" s="48"/>
      <c r="AI85" s="47"/>
      <c r="AJ85" s="47" t="s">
        <v>485</v>
      </c>
      <c r="AK85" s="47" t="s">
        <v>497</v>
      </c>
      <c r="AL85" s="47"/>
      <c r="AM85" s="47"/>
      <c r="AN85" s="47"/>
      <c r="AO85" s="47"/>
      <c r="AP85" s="47"/>
      <c r="AQ85" s="47"/>
      <c r="AR85" s="47" t="s">
        <v>312</v>
      </c>
      <c r="AS85" s="47" t="s">
        <v>227</v>
      </c>
      <c r="AT85" s="54" t="n">
        <v>0.1</v>
      </c>
    </row>
    <row r="86" customFormat="false" ht="14.25" hidden="false" customHeight="true" outlineLevel="0" collapsed="false">
      <c r="A86" s="47" t="n">
        <v>82</v>
      </c>
      <c r="B86" s="47" t="s">
        <v>498</v>
      </c>
      <c r="C86" s="47" t="s">
        <v>499</v>
      </c>
      <c r="D86" s="48" t="n">
        <v>46211</v>
      </c>
      <c r="E86" s="49" t="n">
        <f aca="false">YEAR(D86)</f>
        <v>2026</v>
      </c>
      <c r="F86" s="50" t="str">
        <f aca="false">TEXT(D86,"mmm")</f>
        <v>Jul</v>
      </c>
      <c r="G86" s="47" t="s">
        <v>20</v>
      </c>
      <c r="H86" s="47" t="s">
        <v>482</v>
      </c>
      <c r="I86" s="47"/>
      <c r="J86" s="47" t="s">
        <v>500</v>
      </c>
      <c r="K86" s="47" t="s">
        <v>484</v>
      </c>
      <c r="L86" s="47"/>
      <c r="M86" s="47" t="n">
        <v>1133</v>
      </c>
      <c r="N86" s="47" t="s">
        <v>488</v>
      </c>
      <c r="O86" s="51" t="n">
        <v>32</v>
      </c>
      <c r="P86" s="51" t="n">
        <v>0</v>
      </c>
      <c r="Q86" s="52" t="n">
        <f aca="false">M86*O86-P86</f>
        <v>36256</v>
      </c>
      <c r="R86" s="53" t="n">
        <v>0.18</v>
      </c>
      <c r="S86" s="47" t="s">
        <v>39</v>
      </c>
      <c r="T86" s="52" t="n">
        <f aca="false">IF(S86="IGST",ROUND(Q86*R86,2),0)</f>
        <v>0</v>
      </c>
      <c r="U86" s="52" t="n">
        <f aca="false">IF(S86="CGST+SGST",ROUND(Q86*R86/2,2),0)</f>
        <v>3263.04</v>
      </c>
      <c r="V86" s="52" t="n">
        <f aca="false">U86</f>
        <v>3263.04</v>
      </c>
      <c r="W86" s="51" t="n">
        <v>0</v>
      </c>
      <c r="X86" s="52" t="n">
        <f aca="false">Q86+T86+U86+V86+W86</f>
        <v>42782.08</v>
      </c>
      <c r="Y86" s="52" t="n">
        <f aca="false">ROUND(Q86*AT86,0)</f>
        <v>725</v>
      </c>
      <c r="Z86" s="52" t="n">
        <f aca="false">X86-Y86</f>
        <v>42057.08</v>
      </c>
      <c r="AA86" s="47"/>
      <c r="AB86" s="47"/>
      <c r="AC86" s="47"/>
      <c r="AD86" s="47" t="s">
        <v>177</v>
      </c>
      <c r="AE86" s="47" t="s">
        <v>176</v>
      </c>
      <c r="AF86" s="47" t="s">
        <v>177</v>
      </c>
      <c r="AG86" s="47"/>
      <c r="AH86" s="48"/>
      <c r="AI86" s="47"/>
      <c r="AJ86" s="47" t="s">
        <v>485</v>
      </c>
      <c r="AK86" s="47" t="s">
        <v>501</v>
      </c>
      <c r="AL86" s="47"/>
      <c r="AM86" s="47"/>
      <c r="AN86" s="47"/>
      <c r="AO86" s="47"/>
      <c r="AP86" s="47"/>
      <c r="AQ86" s="47"/>
      <c r="AR86" s="47" t="s">
        <v>312</v>
      </c>
      <c r="AS86" s="47" t="s">
        <v>203</v>
      </c>
      <c r="AT86" s="54" t="n">
        <v>0.02</v>
      </c>
    </row>
    <row r="87" customFormat="false" ht="14.25" hidden="false" customHeight="true" outlineLevel="0" collapsed="false">
      <c r="A87" s="47" t="n">
        <v>83</v>
      </c>
      <c r="B87" s="47" t="s">
        <v>502</v>
      </c>
      <c r="C87" s="47" t="s">
        <v>503</v>
      </c>
      <c r="D87" s="48" t="n">
        <v>46219</v>
      </c>
      <c r="E87" s="49" t="n">
        <f aca="false">YEAR(D87)</f>
        <v>2026</v>
      </c>
      <c r="F87" s="50" t="str">
        <f aca="false">TEXT(D87,"mmm")</f>
        <v>Jul</v>
      </c>
      <c r="G87" s="47" t="s">
        <v>20</v>
      </c>
      <c r="H87" s="47" t="s">
        <v>482</v>
      </c>
      <c r="I87" s="47"/>
      <c r="J87" s="47" t="s">
        <v>504</v>
      </c>
      <c r="K87" s="47" t="s">
        <v>222</v>
      </c>
      <c r="L87" s="47"/>
      <c r="M87" s="47" t="n">
        <v>1</v>
      </c>
      <c r="N87" s="47" t="s">
        <v>171</v>
      </c>
      <c r="O87" s="51" t="n">
        <v>61252</v>
      </c>
      <c r="P87" s="51" t="n">
        <v>0</v>
      </c>
      <c r="Q87" s="52" t="n">
        <f aca="false">M87*O87-P87</f>
        <v>61252</v>
      </c>
      <c r="R87" s="53" t="n">
        <v>0.18</v>
      </c>
      <c r="S87" s="47" t="s">
        <v>39</v>
      </c>
      <c r="T87" s="52" t="n">
        <f aca="false">IF(S87="IGST",ROUND(Q87*R87,2),0)</f>
        <v>0</v>
      </c>
      <c r="U87" s="52" t="n">
        <f aca="false">IF(S87="CGST+SGST",ROUND(Q87*R87/2,2),0)</f>
        <v>5512.68</v>
      </c>
      <c r="V87" s="52" t="n">
        <f aca="false">U87</f>
        <v>5512.68</v>
      </c>
      <c r="W87" s="51" t="n">
        <v>0</v>
      </c>
      <c r="X87" s="52" t="n">
        <f aca="false">Q87+T87+U87+V87+W87</f>
        <v>72277.36</v>
      </c>
      <c r="Y87" s="52" t="n">
        <f aca="false">ROUND(Q87*AT87,0)</f>
        <v>6125</v>
      </c>
      <c r="Z87" s="52" t="n">
        <f aca="false">X87-Y87</f>
        <v>66152.36</v>
      </c>
      <c r="AA87" s="47"/>
      <c r="AB87" s="47"/>
      <c r="AC87" s="47"/>
      <c r="AD87" s="47" t="s">
        <v>177</v>
      </c>
      <c r="AE87" s="47" t="s">
        <v>176</v>
      </c>
      <c r="AF87" s="47" t="s">
        <v>177</v>
      </c>
      <c r="AG87" s="47"/>
      <c r="AH87" s="48"/>
      <c r="AI87" s="47"/>
      <c r="AJ87" s="47" t="s">
        <v>485</v>
      </c>
      <c r="AK87" s="47"/>
      <c r="AL87" s="47"/>
      <c r="AM87" s="47"/>
      <c r="AN87" s="47"/>
      <c r="AO87" s="47"/>
      <c r="AP87" s="47"/>
      <c r="AQ87" s="47"/>
      <c r="AR87" s="47" t="s">
        <v>312</v>
      </c>
      <c r="AS87" s="47" t="s">
        <v>227</v>
      </c>
      <c r="AT87" s="54" t="n">
        <v>0.1</v>
      </c>
    </row>
    <row r="88" customFormat="false" ht="14.25" hidden="false" customHeight="true" outlineLevel="0" collapsed="false">
      <c r="A88" s="47" t="n">
        <v>84</v>
      </c>
      <c r="B88" s="47" t="s">
        <v>505</v>
      </c>
      <c r="C88" s="47" t="s">
        <v>506</v>
      </c>
      <c r="D88" s="48" t="n">
        <v>46220</v>
      </c>
      <c r="E88" s="49" t="n">
        <f aca="false">YEAR(D88)</f>
        <v>2026</v>
      </c>
      <c r="F88" s="50" t="str">
        <f aca="false">TEXT(D88,"mmm")</f>
        <v>Jul</v>
      </c>
      <c r="G88" s="47" t="s">
        <v>20</v>
      </c>
      <c r="H88" s="47" t="s">
        <v>482</v>
      </c>
      <c r="I88" s="47"/>
      <c r="J88" s="47" t="s">
        <v>507</v>
      </c>
      <c r="K88" s="47"/>
      <c r="L88" s="47"/>
      <c r="M88" s="47" t="n">
        <v>2268</v>
      </c>
      <c r="N88" s="47" t="s">
        <v>508</v>
      </c>
      <c r="O88" s="51" t="n">
        <v>14.36</v>
      </c>
      <c r="P88" s="51" t="n">
        <v>0</v>
      </c>
      <c r="Q88" s="52" t="n">
        <f aca="false">M88*O88-P88</f>
        <v>32568.48</v>
      </c>
      <c r="R88" s="53" t="n">
        <v>0</v>
      </c>
      <c r="S88" s="47" t="s">
        <v>509</v>
      </c>
      <c r="T88" s="52" t="n">
        <f aca="false">IF(S88="IGST",ROUND(Q88*R88,2),0)</f>
        <v>0</v>
      </c>
      <c r="U88" s="52" t="n">
        <f aca="false">IF(S88="CGST+SGST",ROUND(Q88*R88/2,2),0)</f>
        <v>0</v>
      </c>
      <c r="V88" s="52" t="n">
        <f aca="false">U88</f>
        <v>0</v>
      </c>
      <c r="W88" s="51" t="n">
        <v>0</v>
      </c>
      <c r="X88" s="52" t="n">
        <f aca="false">Q88+T88+U88+V88+W88</f>
        <v>32568.48</v>
      </c>
      <c r="Y88" s="52" t="n">
        <f aca="false">ROUND(Q88*AT88,0)</f>
        <v>0</v>
      </c>
      <c r="Z88" s="52" t="n">
        <f aca="false">X88-Y88</f>
        <v>32568.48</v>
      </c>
      <c r="AA88" s="47"/>
      <c r="AB88" s="47"/>
      <c r="AC88" s="47"/>
      <c r="AD88" s="47" t="s">
        <v>177</v>
      </c>
      <c r="AE88" s="47" t="s">
        <v>176</v>
      </c>
      <c r="AF88" s="47" t="s">
        <v>177</v>
      </c>
      <c r="AG88" s="47"/>
      <c r="AH88" s="48"/>
      <c r="AI88" s="47"/>
      <c r="AJ88" s="47" t="s">
        <v>485</v>
      </c>
      <c r="AK88" s="47"/>
      <c r="AL88" s="47"/>
      <c r="AM88" s="47"/>
      <c r="AN88" s="47"/>
      <c r="AO88" s="47"/>
      <c r="AP88" s="47"/>
      <c r="AQ88" s="47"/>
      <c r="AR88" s="47" t="s">
        <v>510</v>
      </c>
      <c r="AS88" s="47" t="s">
        <v>511</v>
      </c>
      <c r="AT88" s="54" t="n">
        <v>0</v>
      </c>
    </row>
    <row r="89" customFormat="false" ht="14.25" hidden="false" customHeight="true" outlineLevel="0" collapsed="false">
      <c r="A89" s="47" t="n">
        <v>85</v>
      </c>
      <c r="B89" s="47" t="s">
        <v>512</v>
      </c>
      <c r="C89" s="47" t="s">
        <v>513</v>
      </c>
      <c r="D89" s="48" t="n">
        <v>46235</v>
      </c>
      <c r="E89" s="49" t="n">
        <f aca="false">YEAR(D89)</f>
        <v>2026</v>
      </c>
      <c r="F89" s="50" t="str">
        <f aca="false">TEXT(D89,"mmm")</f>
        <v>Aug</v>
      </c>
      <c r="G89" s="47" t="s">
        <v>20</v>
      </c>
      <c r="H89" s="47" t="s">
        <v>482</v>
      </c>
      <c r="I89" s="47"/>
      <c r="J89" s="47" t="s">
        <v>514</v>
      </c>
      <c r="K89" s="47" t="s">
        <v>222</v>
      </c>
      <c r="L89" s="47"/>
      <c r="M89" s="47" t="n">
        <v>1133</v>
      </c>
      <c r="N89" s="47" t="s">
        <v>488</v>
      </c>
      <c r="O89" s="51" t="n">
        <v>400</v>
      </c>
      <c r="P89" s="51" t="n">
        <v>0</v>
      </c>
      <c r="Q89" s="52" t="n">
        <f aca="false">M89*O89-P89</f>
        <v>453200</v>
      </c>
      <c r="R89" s="53" t="n">
        <v>0.18</v>
      </c>
      <c r="S89" s="47" t="s">
        <v>39</v>
      </c>
      <c r="T89" s="52" t="n">
        <f aca="false">IF(S89="IGST",ROUND(Q89*R89,2),0)</f>
        <v>0</v>
      </c>
      <c r="U89" s="52" t="n">
        <f aca="false">IF(S89="CGST+SGST",ROUND(Q89*R89/2,2),0)</f>
        <v>40788</v>
      </c>
      <c r="V89" s="52" t="n">
        <f aca="false">U89</f>
        <v>40788</v>
      </c>
      <c r="W89" s="51" t="n">
        <v>0</v>
      </c>
      <c r="X89" s="52" t="n">
        <f aca="false">Q89+T89+U89+V89+W89</f>
        <v>534776</v>
      </c>
      <c r="Y89" s="52" t="n">
        <f aca="false">ROUND(Q89*AT89,0)</f>
        <v>45320</v>
      </c>
      <c r="Z89" s="52" t="n">
        <f aca="false">X89-Y89</f>
        <v>489456</v>
      </c>
      <c r="AA89" s="47"/>
      <c r="AB89" s="47"/>
      <c r="AC89" s="47"/>
      <c r="AD89" s="47" t="s">
        <v>177</v>
      </c>
      <c r="AE89" s="47" t="s">
        <v>176</v>
      </c>
      <c r="AF89" s="47" t="s">
        <v>177</v>
      </c>
      <c r="AG89" s="47"/>
      <c r="AH89" s="48"/>
      <c r="AI89" s="47"/>
      <c r="AJ89" s="47" t="s">
        <v>485</v>
      </c>
      <c r="AK89" s="47" t="s">
        <v>515</v>
      </c>
      <c r="AL89" s="47"/>
      <c r="AM89" s="47"/>
      <c r="AN89" s="47"/>
      <c r="AO89" s="47"/>
      <c r="AP89" s="47"/>
      <c r="AQ89" s="47"/>
      <c r="AR89" s="47" t="s">
        <v>312</v>
      </c>
      <c r="AS89" s="47" t="s">
        <v>227</v>
      </c>
      <c r="AT89" s="54" t="n">
        <v>0.1</v>
      </c>
    </row>
    <row r="90" customFormat="false" ht="14.25" hidden="false" customHeight="true" outlineLevel="0" collapsed="false">
      <c r="A90" s="47" t="n">
        <v>86</v>
      </c>
      <c r="B90" s="47" t="s">
        <v>516</v>
      </c>
      <c r="C90" s="47" t="s">
        <v>517</v>
      </c>
      <c r="D90" s="48" t="n">
        <v>46235</v>
      </c>
      <c r="E90" s="49" t="n">
        <f aca="false">YEAR(D90)</f>
        <v>2026</v>
      </c>
      <c r="F90" s="50" t="str">
        <f aca="false">TEXT(D90,"mmm")</f>
        <v>Aug</v>
      </c>
      <c r="G90" s="47" t="s">
        <v>20</v>
      </c>
      <c r="H90" s="47" t="s">
        <v>482</v>
      </c>
      <c r="I90" s="47"/>
      <c r="J90" s="47" t="s">
        <v>518</v>
      </c>
      <c r="K90" s="47" t="s">
        <v>484</v>
      </c>
      <c r="L90" s="47"/>
      <c r="M90" s="47" t="n">
        <v>1133</v>
      </c>
      <c r="N90" s="47" t="s">
        <v>488</v>
      </c>
      <c r="O90" s="51" t="n">
        <v>32</v>
      </c>
      <c r="P90" s="51" t="n">
        <v>0</v>
      </c>
      <c r="Q90" s="52" t="n">
        <f aca="false">M90*O90-P90</f>
        <v>36256</v>
      </c>
      <c r="R90" s="53" t="n">
        <v>0.18</v>
      </c>
      <c r="S90" s="47" t="s">
        <v>39</v>
      </c>
      <c r="T90" s="52" t="n">
        <f aca="false">IF(S90="IGST",ROUND(Q90*R90,2),0)</f>
        <v>0</v>
      </c>
      <c r="U90" s="52" t="n">
        <f aca="false">IF(S90="CGST+SGST",ROUND(Q90*R90/2,2),0)</f>
        <v>3263.04</v>
      </c>
      <c r="V90" s="52" t="n">
        <f aca="false">U90</f>
        <v>3263.04</v>
      </c>
      <c r="W90" s="51" t="n">
        <v>0</v>
      </c>
      <c r="X90" s="52" t="n">
        <f aca="false">Q90+T90+U90+V90+W90</f>
        <v>42782.08</v>
      </c>
      <c r="Y90" s="52" t="n">
        <f aca="false">ROUND(Q90*AT90,0)</f>
        <v>725</v>
      </c>
      <c r="Z90" s="52" t="n">
        <f aca="false">X90-Y90</f>
        <v>42057.08</v>
      </c>
      <c r="AA90" s="47"/>
      <c r="AB90" s="47"/>
      <c r="AC90" s="47"/>
      <c r="AD90" s="47" t="s">
        <v>177</v>
      </c>
      <c r="AE90" s="47" t="s">
        <v>176</v>
      </c>
      <c r="AF90" s="47" t="s">
        <v>177</v>
      </c>
      <c r="AG90" s="47"/>
      <c r="AH90" s="48"/>
      <c r="AI90" s="47"/>
      <c r="AJ90" s="47" t="s">
        <v>485</v>
      </c>
      <c r="AK90" s="47" t="s">
        <v>519</v>
      </c>
      <c r="AL90" s="47"/>
      <c r="AM90" s="47"/>
      <c r="AN90" s="47"/>
      <c r="AO90" s="47"/>
      <c r="AP90" s="47"/>
      <c r="AQ90" s="47"/>
      <c r="AR90" s="47" t="s">
        <v>312</v>
      </c>
      <c r="AS90" s="47" t="s">
        <v>203</v>
      </c>
      <c r="AT90" s="54" t="n">
        <v>0.02</v>
      </c>
    </row>
    <row r="91" customFormat="false" ht="14.25" hidden="false" customHeight="true" outlineLevel="0" collapsed="false">
      <c r="A91" s="47" t="n">
        <v>87</v>
      </c>
      <c r="B91" s="47" t="s">
        <v>520</v>
      </c>
      <c r="C91" s="47" t="s">
        <v>521</v>
      </c>
      <c r="D91" s="48" t="n">
        <v>46239</v>
      </c>
      <c r="E91" s="49" t="n">
        <f aca="false">YEAR(D91)</f>
        <v>2026</v>
      </c>
      <c r="F91" s="50" t="str">
        <f aca="false">TEXT(D91,"mmm")</f>
        <v>Aug</v>
      </c>
      <c r="G91" s="47" t="s">
        <v>20</v>
      </c>
      <c r="H91" s="47" t="s">
        <v>482</v>
      </c>
      <c r="I91" s="47"/>
      <c r="J91" s="47" t="s">
        <v>522</v>
      </c>
      <c r="K91" s="47"/>
      <c r="L91" s="47"/>
      <c r="M91" s="47" t="n">
        <v>2322</v>
      </c>
      <c r="N91" s="47" t="s">
        <v>508</v>
      </c>
      <c r="O91" s="51" t="n">
        <v>14.36</v>
      </c>
      <c r="P91" s="51" t="n">
        <v>0</v>
      </c>
      <c r="Q91" s="52" t="n">
        <f aca="false">M91*O91-P91</f>
        <v>33343.92</v>
      </c>
      <c r="R91" s="53" t="n">
        <v>0</v>
      </c>
      <c r="S91" s="47" t="s">
        <v>509</v>
      </c>
      <c r="T91" s="52" t="n">
        <f aca="false">IF(S91="IGST",ROUND(Q91*R91,2),0)</f>
        <v>0</v>
      </c>
      <c r="U91" s="52" t="n">
        <f aca="false">IF(S91="CGST+SGST",ROUND(Q91*R91/2,2),0)</f>
        <v>0</v>
      </c>
      <c r="V91" s="52" t="n">
        <f aca="false">U91</f>
        <v>0</v>
      </c>
      <c r="W91" s="51" t="n">
        <v>0</v>
      </c>
      <c r="X91" s="52" t="n">
        <f aca="false">Q91+T91+U91+V91+W91</f>
        <v>33343.92</v>
      </c>
      <c r="Y91" s="52" t="n">
        <f aca="false">ROUND(Q91*AT91,0)</f>
        <v>0</v>
      </c>
      <c r="Z91" s="52" t="n">
        <f aca="false">X91-Y91</f>
        <v>33343.92</v>
      </c>
      <c r="AA91" s="47"/>
      <c r="AB91" s="47"/>
      <c r="AC91" s="47"/>
      <c r="AD91" s="47" t="s">
        <v>177</v>
      </c>
      <c r="AE91" s="47" t="s">
        <v>176</v>
      </c>
      <c r="AF91" s="47" t="s">
        <v>177</v>
      </c>
      <c r="AG91" s="47"/>
      <c r="AH91" s="48"/>
      <c r="AI91" s="47"/>
      <c r="AJ91" s="47" t="s">
        <v>485</v>
      </c>
      <c r="AK91" s="47"/>
      <c r="AL91" s="47"/>
      <c r="AM91" s="47"/>
      <c r="AN91" s="47"/>
      <c r="AO91" s="47"/>
      <c r="AP91" s="47"/>
      <c r="AQ91" s="47"/>
      <c r="AR91" s="47" t="s">
        <v>510</v>
      </c>
      <c r="AS91" s="47" t="s">
        <v>511</v>
      </c>
      <c r="AT91" s="54" t="n">
        <v>0</v>
      </c>
    </row>
    <row r="92" customFormat="false" ht="14.25" hidden="false" customHeight="true" outlineLevel="0" collapsed="false">
      <c r="A92" s="47" t="n">
        <v>88</v>
      </c>
      <c r="B92" s="47" t="s">
        <v>523</v>
      </c>
      <c r="C92" s="47" t="s">
        <v>524</v>
      </c>
      <c r="D92" s="48" t="n">
        <v>46255</v>
      </c>
      <c r="E92" s="49" t="n">
        <f aca="false">YEAR(D92)</f>
        <v>2026</v>
      </c>
      <c r="F92" s="50" t="str">
        <f aca="false">TEXT(D92,"mmm")</f>
        <v>Aug</v>
      </c>
      <c r="G92" s="47" t="s">
        <v>20</v>
      </c>
      <c r="H92" s="47" t="s">
        <v>482</v>
      </c>
      <c r="I92" s="47"/>
      <c r="J92" s="47" t="s">
        <v>525</v>
      </c>
      <c r="K92" s="47" t="s">
        <v>484</v>
      </c>
      <c r="L92" s="47"/>
      <c r="M92" s="47" t="n">
        <v>14.07</v>
      </c>
      <c r="N92" s="47" t="s">
        <v>526</v>
      </c>
      <c r="O92" s="51" t="n">
        <v>10000</v>
      </c>
      <c r="P92" s="51" t="n">
        <v>0</v>
      </c>
      <c r="Q92" s="52" t="n">
        <f aca="false">M92*O92-P92</f>
        <v>140700</v>
      </c>
      <c r="R92" s="53" t="n">
        <v>0.18</v>
      </c>
      <c r="S92" s="47" t="s">
        <v>39</v>
      </c>
      <c r="T92" s="52" t="n">
        <f aca="false">IF(S92="IGST",ROUND(Q92*R92,2),0)</f>
        <v>0</v>
      </c>
      <c r="U92" s="52" t="n">
        <f aca="false">IF(S92="CGST+SGST",ROUND(Q92*R92/2,2),0)</f>
        <v>12663</v>
      </c>
      <c r="V92" s="52" t="n">
        <f aca="false">U92</f>
        <v>12663</v>
      </c>
      <c r="W92" s="51" t="n">
        <v>0</v>
      </c>
      <c r="X92" s="52" t="n">
        <f aca="false">Q92+T92+U92+V92+W92</f>
        <v>166026</v>
      </c>
      <c r="Y92" s="52" t="n">
        <f aca="false">ROUND(Q92*AT92,0)</f>
        <v>2814</v>
      </c>
      <c r="Z92" s="52" t="n">
        <f aca="false">X92-Y92</f>
        <v>163212</v>
      </c>
      <c r="AA92" s="47"/>
      <c r="AB92" s="47"/>
      <c r="AC92" s="47"/>
      <c r="AD92" s="47" t="s">
        <v>177</v>
      </c>
      <c r="AE92" s="47" t="s">
        <v>176</v>
      </c>
      <c r="AF92" s="47" t="s">
        <v>177</v>
      </c>
      <c r="AG92" s="47"/>
      <c r="AH92" s="48"/>
      <c r="AI92" s="47"/>
      <c r="AJ92" s="47" t="s">
        <v>485</v>
      </c>
      <c r="AK92" s="47" t="s">
        <v>527</v>
      </c>
      <c r="AL92" s="47"/>
      <c r="AM92" s="47"/>
      <c r="AN92" s="47"/>
      <c r="AO92" s="47"/>
      <c r="AP92" s="47"/>
      <c r="AQ92" s="47"/>
      <c r="AR92" s="47" t="s">
        <v>312</v>
      </c>
      <c r="AS92" s="47" t="s">
        <v>203</v>
      </c>
      <c r="AT92" s="54" t="n">
        <v>0.02</v>
      </c>
    </row>
    <row r="93" customFormat="false" ht="14.25" hidden="false" customHeight="true" outlineLevel="0" collapsed="false">
      <c r="A93" s="47" t="n">
        <v>89</v>
      </c>
      <c r="B93" s="47" t="s">
        <v>528</v>
      </c>
      <c r="C93" s="47" t="s">
        <v>529</v>
      </c>
      <c r="D93" s="48" t="n">
        <v>46288</v>
      </c>
      <c r="E93" s="49" t="n">
        <f aca="false">YEAR(D93)</f>
        <v>2026</v>
      </c>
      <c r="F93" s="50" t="str">
        <f aca="false">TEXT(D93,"mmm")</f>
        <v>Sep</v>
      </c>
      <c r="G93" s="47" t="s">
        <v>20</v>
      </c>
      <c r="H93" s="47" t="s">
        <v>482</v>
      </c>
      <c r="I93" s="47"/>
      <c r="J93" s="47" t="s">
        <v>530</v>
      </c>
      <c r="K93" s="47"/>
      <c r="L93" s="47"/>
      <c r="M93" s="47" t="n">
        <v>2132</v>
      </c>
      <c r="N93" s="47" t="s">
        <v>508</v>
      </c>
      <c r="O93" s="51" t="n">
        <v>14.36</v>
      </c>
      <c r="P93" s="51" t="n">
        <v>0</v>
      </c>
      <c r="Q93" s="52" t="n">
        <f aca="false">M93*O93-P93</f>
        <v>30615.52</v>
      </c>
      <c r="R93" s="53" t="n">
        <v>0</v>
      </c>
      <c r="S93" s="47" t="s">
        <v>509</v>
      </c>
      <c r="T93" s="52" t="n">
        <f aca="false">IF(S93="IGST",ROUND(Q93*R93,2),0)</f>
        <v>0</v>
      </c>
      <c r="U93" s="52" t="n">
        <f aca="false">IF(S93="CGST+SGST",ROUND(Q93*R93/2,2),0)</f>
        <v>0</v>
      </c>
      <c r="V93" s="52" t="n">
        <f aca="false">U93</f>
        <v>0</v>
      </c>
      <c r="W93" s="51" t="n">
        <v>0</v>
      </c>
      <c r="X93" s="52" t="n">
        <f aca="false">Q93+T93+U93+V93+W93</f>
        <v>30615.52</v>
      </c>
      <c r="Y93" s="52" t="n">
        <f aca="false">ROUND(Q93*AT93,0)</f>
        <v>0</v>
      </c>
      <c r="Z93" s="52" t="n">
        <f aca="false">X93-Y93</f>
        <v>30615.52</v>
      </c>
      <c r="AA93" s="47"/>
      <c r="AB93" s="47"/>
      <c r="AC93" s="47"/>
      <c r="AD93" s="47" t="s">
        <v>177</v>
      </c>
      <c r="AE93" s="47" t="s">
        <v>176</v>
      </c>
      <c r="AF93" s="47" t="s">
        <v>177</v>
      </c>
      <c r="AG93" s="47"/>
      <c r="AH93" s="48"/>
      <c r="AI93" s="47"/>
      <c r="AJ93" s="47" t="s">
        <v>485</v>
      </c>
      <c r="AK93" s="47"/>
      <c r="AL93" s="47"/>
      <c r="AM93" s="47"/>
      <c r="AN93" s="47"/>
      <c r="AO93" s="47"/>
      <c r="AP93" s="47"/>
      <c r="AQ93" s="47"/>
      <c r="AR93" s="47" t="s">
        <v>510</v>
      </c>
      <c r="AS93" s="47" t="s">
        <v>511</v>
      </c>
      <c r="AT93" s="54" t="n">
        <v>0</v>
      </c>
    </row>
    <row r="94" customFormat="false" ht="14.25" hidden="false" customHeight="true" outlineLevel="0" collapsed="false">
      <c r="A94" s="47" t="n">
        <v>90</v>
      </c>
      <c r="B94" s="47" t="s">
        <v>531</v>
      </c>
      <c r="C94" s="47" t="s">
        <v>532</v>
      </c>
      <c r="D94" s="48" t="n">
        <v>46289</v>
      </c>
      <c r="E94" s="49" t="n">
        <f aca="false">YEAR(D94)</f>
        <v>2026</v>
      </c>
      <c r="F94" s="50" t="str">
        <f aca="false">TEXT(D94,"mmm")</f>
        <v>Sep</v>
      </c>
      <c r="G94" s="47" t="s">
        <v>20</v>
      </c>
      <c r="H94" s="47" t="s">
        <v>482</v>
      </c>
      <c r="I94" s="47"/>
      <c r="J94" s="47" t="s">
        <v>533</v>
      </c>
      <c r="K94" s="47" t="s">
        <v>222</v>
      </c>
      <c r="L94" s="47"/>
      <c r="M94" s="47" t="n">
        <v>1</v>
      </c>
      <c r="N94" s="47" t="s">
        <v>171</v>
      </c>
      <c r="O94" s="51" t="n">
        <v>22051.2</v>
      </c>
      <c r="P94" s="51" t="n">
        <v>0</v>
      </c>
      <c r="Q94" s="52" t="n">
        <f aca="false">M94*O94-P94</f>
        <v>22051.2</v>
      </c>
      <c r="R94" s="53" t="n">
        <v>0.18</v>
      </c>
      <c r="S94" s="47" t="s">
        <v>39</v>
      </c>
      <c r="T94" s="52" t="n">
        <f aca="false">IF(S94="IGST",ROUND(Q94*R94,2),0)</f>
        <v>0</v>
      </c>
      <c r="U94" s="52" t="n">
        <f aca="false">IF(S94="CGST+SGST",ROUND(Q94*R94/2,2),0)</f>
        <v>1984.61</v>
      </c>
      <c r="V94" s="52" t="n">
        <f aca="false">U94</f>
        <v>1984.61</v>
      </c>
      <c r="W94" s="51" t="n">
        <v>0</v>
      </c>
      <c r="X94" s="52" t="n">
        <f aca="false">Q94+T94+U94+V94+W94</f>
        <v>26020.42</v>
      </c>
      <c r="Y94" s="52" t="n">
        <f aca="false">ROUND(Q94*AT94,0)</f>
        <v>2205</v>
      </c>
      <c r="Z94" s="52" t="n">
        <f aca="false">X94-Y94</f>
        <v>23815.42</v>
      </c>
      <c r="AA94" s="47"/>
      <c r="AB94" s="47"/>
      <c r="AC94" s="47"/>
      <c r="AD94" s="47" t="s">
        <v>177</v>
      </c>
      <c r="AE94" s="47" t="s">
        <v>176</v>
      </c>
      <c r="AF94" s="47" t="s">
        <v>177</v>
      </c>
      <c r="AG94" s="47"/>
      <c r="AH94" s="48"/>
      <c r="AI94" s="47"/>
      <c r="AJ94" s="47" t="s">
        <v>485</v>
      </c>
      <c r="AK94" s="47" t="s">
        <v>534</v>
      </c>
      <c r="AL94" s="47"/>
      <c r="AM94" s="47"/>
      <c r="AN94" s="47"/>
      <c r="AO94" s="47"/>
      <c r="AP94" s="47"/>
      <c r="AQ94" s="47"/>
      <c r="AR94" s="47" t="s">
        <v>312</v>
      </c>
      <c r="AS94" s="47" t="s">
        <v>227</v>
      </c>
      <c r="AT94" s="54" t="n">
        <v>0.1</v>
      </c>
    </row>
    <row r="95" customFormat="false" ht="14.25" hidden="false" customHeight="true" outlineLevel="0" collapsed="false">
      <c r="A95" s="47" t="n">
        <v>91</v>
      </c>
      <c r="B95" s="47" t="s">
        <v>535</v>
      </c>
      <c r="C95" s="47" t="s">
        <v>536</v>
      </c>
      <c r="D95" s="48" t="n">
        <v>46282</v>
      </c>
      <c r="E95" s="49" t="n">
        <f aca="false">YEAR(D95)</f>
        <v>2026</v>
      </c>
      <c r="F95" s="50" t="str">
        <f aca="false">TEXT(D95,"mmm")</f>
        <v>Sep</v>
      </c>
      <c r="G95" s="47" t="s">
        <v>537</v>
      </c>
      <c r="H95" s="47" t="s">
        <v>538</v>
      </c>
      <c r="I95" s="47"/>
      <c r="J95" s="47" t="s">
        <v>539</v>
      </c>
      <c r="K95" s="47" t="s">
        <v>540</v>
      </c>
      <c r="L95" s="47"/>
      <c r="M95" s="47" t="n">
        <v>1</v>
      </c>
      <c r="N95" s="47" t="s">
        <v>232</v>
      </c>
      <c r="O95" s="51" t="n">
        <v>30000</v>
      </c>
      <c r="P95" s="51" t="n">
        <v>0</v>
      </c>
      <c r="Q95" s="52" t="n">
        <f aca="false">M95*O95-P95</f>
        <v>30000</v>
      </c>
      <c r="R95" s="53" t="n">
        <v>0.18</v>
      </c>
      <c r="S95" s="47" t="s">
        <v>39</v>
      </c>
      <c r="T95" s="52" t="n">
        <f aca="false">IF(S95="IGST",ROUND(Q95*R95,2),0)</f>
        <v>0</v>
      </c>
      <c r="U95" s="52" t="n">
        <f aca="false">IF(S95="CGST+SGST",ROUND(Q95*R95/2,2),0)</f>
        <v>2700</v>
      </c>
      <c r="V95" s="52" t="n">
        <f aca="false">U95</f>
        <v>2700</v>
      </c>
      <c r="W95" s="51" t="n">
        <v>0</v>
      </c>
      <c r="X95" s="52" t="n">
        <f aca="false">Q95+T95+U95+V95+W95</f>
        <v>35400</v>
      </c>
      <c r="Y95" s="52" t="n">
        <f aca="false">ROUND(Q95*AT95,0)</f>
        <v>0</v>
      </c>
      <c r="Z95" s="52" t="n">
        <f aca="false">X95-Y95</f>
        <v>35400</v>
      </c>
      <c r="AA95" s="47"/>
      <c r="AB95" s="47"/>
      <c r="AC95" s="47"/>
      <c r="AD95" s="47" t="s">
        <v>177</v>
      </c>
      <c r="AE95" s="47" t="s">
        <v>176</v>
      </c>
      <c r="AF95" s="47" t="s">
        <v>177</v>
      </c>
      <c r="AG95" s="47"/>
      <c r="AH95" s="48"/>
      <c r="AI95" s="47"/>
      <c r="AJ95" s="47"/>
      <c r="AK95" s="47"/>
      <c r="AL95" s="47"/>
      <c r="AM95" s="47"/>
      <c r="AN95" s="47"/>
      <c r="AO95" s="47"/>
      <c r="AP95" s="47"/>
      <c r="AQ95" s="47"/>
      <c r="AR95" s="47" t="s">
        <v>312</v>
      </c>
      <c r="AS95" s="47" t="s">
        <v>541</v>
      </c>
      <c r="AT95" s="54" t="n">
        <v>0</v>
      </c>
    </row>
    <row r="96" customFormat="false" ht="14.25" hidden="false" customHeight="true" outlineLevel="0" collapsed="false">
      <c r="A96" s="47" t="n">
        <v>92</v>
      </c>
      <c r="B96" s="47" t="s">
        <v>542</v>
      </c>
      <c r="C96" s="47" t="s">
        <v>543</v>
      </c>
      <c r="D96" s="48" t="n">
        <v>46289</v>
      </c>
      <c r="E96" s="49" t="n">
        <f aca="false">YEAR(D96)</f>
        <v>2026</v>
      </c>
      <c r="F96" s="50" t="str">
        <f aca="false">TEXT(D96,"mmm")</f>
        <v>Sep</v>
      </c>
      <c r="G96" s="47" t="s">
        <v>544</v>
      </c>
      <c r="H96" s="47"/>
      <c r="I96" s="47"/>
      <c r="J96" s="47" t="s">
        <v>545</v>
      </c>
      <c r="K96" s="47"/>
      <c r="L96" s="47"/>
      <c r="M96" s="47" t="n">
        <v>1</v>
      </c>
      <c r="N96" s="47" t="s">
        <v>232</v>
      </c>
      <c r="O96" s="51" t="n">
        <v>8000</v>
      </c>
      <c r="P96" s="51" t="n">
        <v>0</v>
      </c>
      <c r="Q96" s="52" t="n">
        <f aca="false">M96*O96-P96</f>
        <v>8000</v>
      </c>
      <c r="R96" s="53" t="n">
        <v>0</v>
      </c>
      <c r="S96" s="47" t="s">
        <v>43</v>
      </c>
      <c r="T96" s="52" t="n">
        <f aca="false">IF(S96="IGST",ROUND(Q96*R96,2),0)</f>
        <v>0</v>
      </c>
      <c r="U96" s="52" t="n">
        <f aca="false">IF(S96="CGST+SGST",ROUND(Q96*R96/2,2),0)</f>
        <v>0</v>
      </c>
      <c r="V96" s="52" t="n">
        <f aca="false">U96</f>
        <v>0</v>
      </c>
      <c r="W96" s="51" t="n">
        <v>0</v>
      </c>
      <c r="X96" s="52" t="n">
        <f aca="false">Q96+T96+U96+V96+W96</f>
        <v>8000</v>
      </c>
      <c r="Y96" s="52" t="n">
        <f aca="false">ROUND(Q96*AT96,0)</f>
        <v>0</v>
      </c>
      <c r="Z96" s="52" t="n">
        <f aca="false">X96-Y96</f>
        <v>8000</v>
      </c>
      <c r="AA96" s="47"/>
      <c r="AB96" s="47"/>
      <c r="AC96" s="47"/>
      <c r="AD96" s="47" t="s">
        <v>546</v>
      </c>
      <c r="AE96" s="47"/>
      <c r="AF96" s="47" t="s">
        <v>177</v>
      </c>
      <c r="AG96" s="47"/>
      <c r="AH96" s="48"/>
      <c r="AI96" s="47"/>
      <c r="AJ96" s="47" t="s">
        <v>547</v>
      </c>
      <c r="AK96" s="47"/>
      <c r="AL96" s="47"/>
      <c r="AM96" s="47"/>
      <c r="AN96" s="47"/>
      <c r="AO96" s="47"/>
      <c r="AP96" s="47"/>
      <c r="AQ96" s="47"/>
      <c r="AR96" s="47" t="s">
        <v>548</v>
      </c>
      <c r="AS96" s="47" t="s">
        <v>549</v>
      </c>
      <c r="AT96" s="54" t="n">
        <v>0</v>
      </c>
    </row>
    <row r="97" customFormat="false" ht="14.25" hidden="false" customHeight="true" outlineLevel="0" collapsed="false">
      <c r="A97" s="47" t="n">
        <v>93</v>
      </c>
      <c r="B97" s="47" t="s">
        <v>550</v>
      </c>
      <c r="C97" s="47" t="s">
        <v>551</v>
      </c>
      <c r="D97" s="48" t="n">
        <v>46235</v>
      </c>
      <c r="E97" s="49" t="n">
        <f aca="false">YEAR(D97)</f>
        <v>2026</v>
      </c>
      <c r="F97" s="50" t="str">
        <f aca="false">TEXT(D97,"mmm")</f>
        <v>Aug</v>
      </c>
      <c r="G97" s="47" t="s">
        <v>552</v>
      </c>
      <c r="H97" s="47" t="s">
        <v>553</v>
      </c>
      <c r="I97" s="47"/>
      <c r="J97" s="47" t="s">
        <v>554</v>
      </c>
      <c r="K97" s="47"/>
      <c r="L97" s="47"/>
      <c r="M97" s="47" t="n">
        <v>1</v>
      </c>
      <c r="N97" s="47" t="s">
        <v>171</v>
      </c>
      <c r="O97" s="51" t="n">
        <v>250000</v>
      </c>
      <c r="P97" s="51" t="n">
        <v>0</v>
      </c>
      <c r="Q97" s="52" t="n">
        <f aca="false">M97*O97-P97</f>
        <v>250000</v>
      </c>
      <c r="R97" s="53" t="n">
        <v>0.18</v>
      </c>
      <c r="S97" s="47" t="s">
        <v>39</v>
      </c>
      <c r="T97" s="52" t="n">
        <f aca="false">IF(S97="IGST",ROUND(Q97*R97,2),0)</f>
        <v>0</v>
      </c>
      <c r="U97" s="52" t="n">
        <f aca="false">IF(S97="CGST+SGST",ROUND(Q97*R97/2,2),0)</f>
        <v>22500</v>
      </c>
      <c r="V97" s="52" t="n">
        <f aca="false">U97</f>
        <v>22500</v>
      </c>
      <c r="W97" s="51" t="n">
        <v>0</v>
      </c>
      <c r="X97" s="52" t="n">
        <f aca="false">Q97+T97+U97+V97+W97</f>
        <v>295000</v>
      </c>
      <c r="Y97" s="52" t="n">
        <f aca="false">ROUND(Q97*AT97,0)</f>
        <v>25000</v>
      </c>
      <c r="Z97" s="52" t="n">
        <f aca="false">X97-Y97</f>
        <v>270000</v>
      </c>
      <c r="AA97" s="47" t="s">
        <v>555</v>
      </c>
      <c r="AB97" s="47" t="s">
        <v>556</v>
      </c>
      <c r="AC97" s="47" t="s">
        <v>557</v>
      </c>
      <c r="AD97" s="47" t="s">
        <v>421</v>
      </c>
      <c r="AE97" s="47" t="s">
        <v>176</v>
      </c>
      <c r="AF97" s="47" t="s">
        <v>421</v>
      </c>
      <c r="AG97" s="47"/>
      <c r="AH97" s="48"/>
      <c r="AI97" s="47"/>
      <c r="AJ97" s="47" t="s">
        <v>558</v>
      </c>
      <c r="AK97" s="47"/>
      <c r="AL97" s="47"/>
      <c r="AM97" s="47"/>
      <c r="AN97" s="47"/>
      <c r="AO97" s="47"/>
      <c r="AP97" s="47"/>
      <c r="AQ97" s="47"/>
      <c r="AR97" s="47" t="s">
        <v>559</v>
      </c>
      <c r="AS97" s="47" t="s">
        <v>227</v>
      </c>
      <c r="AT97" s="54" t="n">
        <v>0.1</v>
      </c>
    </row>
    <row r="98" customFormat="false" ht="14.25" hidden="false" customHeight="true" outlineLevel="0" collapsed="false">
      <c r="A98" s="47" t="n">
        <v>94</v>
      </c>
      <c r="B98" s="47" t="s">
        <v>560</v>
      </c>
      <c r="C98" s="47" t="s">
        <v>561</v>
      </c>
      <c r="D98" s="48" t="n">
        <v>46291</v>
      </c>
      <c r="E98" s="49" t="n">
        <f aca="false">YEAR(D98)</f>
        <v>2026</v>
      </c>
      <c r="F98" s="50" t="str">
        <f aca="false">TEXT(D98,"mmm")</f>
        <v>Sep</v>
      </c>
      <c r="G98" s="47" t="s">
        <v>24</v>
      </c>
      <c r="H98" s="47" t="s">
        <v>110</v>
      </c>
      <c r="I98" s="47" t="s">
        <v>562</v>
      </c>
      <c r="J98" s="47" t="s">
        <v>563</v>
      </c>
      <c r="K98" s="55" t="s">
        <v>113</v>
      </c>
      <c r="L98" s="47" t="n">
        <v>18</v>
      </c>
      <c r="M98" s="47" t="n">
        <v>216</v>
      </c>
      <c r="N98" s="47" t="s">
        <v>114</v>
      </c>
      <c r="O98" s="51" t="n">
        <v>283</v>
      </c>
      <c r="P98" s="51" t="n">
        <v>0</v>
      </c>
      <c r="Q98" s="52" t="n">
        <f aca="false">M98*O98-P98</f>
        <v>61128</v>
      </c>
      <c r="R98" s="53" t="n">
        <v>0.05</v>
      </c>
      <c r="S98" s="47" t="s">
        <v>37</v>
      </c>
      <c r="T98" s="52" t="n">
        <f aca="false">IF(S98="IGST",ROUND(Q98*R98,2),0)</f>
        <v>3056.4</v>
      </c>
      <c r="U98" s="52" t="n">
        <f aca="false">IF(S98="CGST+SGST",ROUND(Q98*R98/2,2),0)</f>
        <v>0</v>
      </c>
      <c r="V98" s="52" t="n">
        <f aca="false">U98</f>
        <v>0</v>
      </c>
      <c r="W98" s="51" t="n">
        <v>0</v>
      </c>
      <c r="X98" s="52" t="n">
        <f aca="false">Q98+T98+U98+V98+W98</f>
        <v>64184.4</v>
      </c>
      <c r="Y98" s="52" t="n">
        <f aca="false">ROUND(Q98*AT98,0)</f>
        <v>61</v>
      </c>
      <c r="Z98" s="52" t="n">
        <f aca="false">X98-Y98</f>
        <v>64123.4</v>
      </c>
      <c r="AA98" s="47"/>
      <c r="AB98" s="47"/>
      <c r="AC98" s="47"/>
      <c r="AD98" s="47" t="s">
        <v>115</v>
      </c>
      <c r="AE98" s="47" t="s">
        <v>116</v>
      </c>
      <c r="AF98" s="47" t="s">
        <v>117</v>
      </c>
      <c r="AG98" s="55" t="s">
        <v>564</v>
      </c>
      <c r="AH98" s="48" t="n">
        <v>46211</v>
      </c>
      <c r="AI98" s="55" t="s">
        <v>565</v>
      </c>
      <c r="AJ98" s="55" t="s">
        <v>566</v>
      </c>
      <c r="AK98" s="47"/>
      <c r="AL98" s="47"/>
      <c r="AM98" s="47"/>
      <c r="AN98" s="47"/>
      <c r="AO98" s="47" t="s">
        <v>125</v>
      </c>
      <c r="AP98" s="55" t="s">
        <v>567</v>
      </c>
      <c r="AQ98" s="47" t="s">
        <v>568</v>
      </c>
      <c r="AR98" s="47" t="s">
        <v>569</v>
      </c>
      <c r="AS98" s="47" t="s">
        <v>129</v>
      </c>
      <c r="AT98" s="54" t="n">
        <v>0.001</v>
      </c>
    </row>
    <row r="99" customFormat="false" ht="14.25" hidden="false" customHeight="true" outlineLevel="0" collapsed="false">
      <c r="A99" s="47" t="n">
        <v>95</v>
      </c>
      <c r="B99" s="47" t="s">
        <v>560</v>
      </c>
      <c r="C99" s="47" t="s">
        <v>561</v>
      </c>
      <c r="D99" s="48" t="n">
        <v>46291</v>
      </c>
      <c r="E99" s="49" t="n">
        <f aca="false">YEAR(D99)</f>
        <v>2026</v>
      </c>
      <c r="F99" s="50" t="str">
        <f aca="false">TEXT(D99,"mmm")</f>
        <v>Sep</v>
      </c>
      <c r="G99" s="47" t="s">
        <v>24</v>
      </c>
      <c r="H99" s="47" t="s">
        <v>110</v>
      </c>
      <c r="I99" s="47" t="s">
        <v>570</v>
      </c>
      <c r="J99" s="47" t="s">
        <v>571</v>
      </c>
      <c r="K99" s="55" t="s">
        <v>113</v>
      </c>
      <c r="L99" s="47" t="n">
        <v>8</v>
      </c>
      <c r="M99" s="47" t="n">
        <v>96</v>
      </c>
      <c r="N99" s="47" t="s">
        <v>114</v>
      </c>
      <c r="O99" s="51" t="n">
        <v>283</v>
      </c>
      <c r="P99" s="51" t="n">
        <v>0</v>
      </c>
      <c r="Q99" s="52" t="n">
        <f aca="false">M99*O99-P99</f>
        <v>27168</v>
      </c>
      <c r="R99" s="53" t="n">
        <v>0.05</v>
      </c>
      <c r="S99" s="47" t="s">
        <v>37</v>
      </c>
      <c r="T99" s="52" t="n">
        <f aca="false">IF(S99="IGST",ROUND(Q99*R99,2),0)</f>
        <v>1358.4</v>
      </c>
      <c r="U99" s="52" t="n">
        <f aca="false">IF(S99="CGST+SGST",ROUND(Q99*R99/2,2),0)</f>
        <v>0</v>
      </c>
      <c r="V99" s="52" t="n">
        <f aca="false">U99</f>
        <v>0</v>
      </c>
      <c r="W99" s="51" t="n">
        <v>0.2</v>
      </c>
      <c r="X99" s="52" t="n">
        <f aca="false">Q99+T99+U99+V99+W99</f>
        <v>28526.6</v>
      </c>
      <c r="Y99" s="52" t="n">
        <f aca="false">ROUND(Q99*AT99,0)</f>
        <v>27</v>
      </c>
      <c r="Z99" s="52" t="n">
        <f aca="false">X99-Y99</f>
        <v>28499.6</v>
      </c>
      <c r="AA99" s="47"/>
      <c r="AB99" s="47"/>
      <c r="AC99" s="47"/>
      <c r="AD99" s="47" t="s">
        <v>115</v>
      </c>
      <c r="AE99" s="47" t="s">
        <v>116</v>
      </c>
      <c r="AF99" s="47" t="s">
        <v>117</v>
      </c>
      <c r="AG99" s="55" t="s">
        <v>564</v>
      </c>
      <c r="AH99" s="48" t="n">
        <v>46211</v>
      </c>
      <c r="AI99" s="55" t="s">
        <v>565</v>
      </c>
      <c r="AJ99" s="55" t="s">
        <v>566</v>
      </c>
      <c r="AK99" s="47"/>
      <c r="AL99" s="47"/>
      <c r="AM99" s="47"/>
      <c r="AN99" s="47"/>
      <c r="AO99" s="47" t="s">
        <v>125</v>
      </c>
      <c r="AP99" s="55" t="s">
        <v>567</v>
      </c>
      <c r="AQ99" s="47" t="s">
        <v>568</v>
      </c>
      <c r="AR99" s="47" t="s">
        <v>569</v>
      </c>
      <c r="AS99" s="47" t="s">
        <v>129</v>
      </c>
      <c r="AT99" s="54" t="n">
        <v>0.001</v>
      </c>
    </row>
    <row r="100" customFormat="false" ht="14.25" hidden="false" customHeight="true" outlineLevel="0" collapsed="false">
      <c r="A100" s="47" t="n">
        <v>96</v>
      </c>
      <c r="B100" s="47" t="s">
        <v>572</v>
      </c>
      <c r="C100" s="47" t="s">
        <v>573</v>
      </c>
      <c r="D100" s="48" t="n">
        <v>46203</v>
      </c>
      <c r="E100" s="49" t="n">
        <f aca="false">YEAR(D100)</f>
        <v>2026</v>
      </c>
      <c r="F100" s="50" t="str">
        <f aca="false">TEXT(D100,"mmm")</f>
        <v>Jun</v>
      </c>
      <c r="G100" s="47" t="s">
        <v>574</v>
      </c>
      <c r="H100" s="47" t="s">
        <v>575</v>
      </c>
      <c r="I100" s="47"/>
      <c r="J100" s="47" t="s">
        <v>576</v>
      </c>
      <c r="K100" s="55" t="s">
        <v>577</v>
      </c>
      <c r="L100" s="47"/>
      <c r="M100" s="47" t="n">
        <v>30000</v>
      </c>
      <c r="N100" s="47" t="s">
        <v>136</v>
      </c>
      <c r="O100" s="51" t="n">
        <v>0.84</v>
      </c>
      <c r="P100" s="51" t="n">
        <v>0</v>
      </c>
      <c r="Q100" s="52" t="n">
        <f aca="false">M100*O100-P100</f>
        <v>25200</v>
      </c>
      <c r="R100" s="53" t="n">
        <v>0.18</v>
      </c>
      <c r="S100" s="47" t="s">
        <v>37</v>
      </c>
      <c r="T100" s="52" t="n">
        <f aca="false">IF(S100="IGST",ROUND(Q100*R100,2),0)</f>
        <v>4536</v>
      </c>
      <c r="U100" s="52" t="n">
        <f aca="false">IF(S100="CGST+SGST",ROUND(Q100*R100/2,2),0)</f>
        <v>0</v>
      </c>
      <c r="V100" s="52" t="n">
        <f aca="false">U100</f>
        <v>0</v>
      </c>
      <c r="W100" s="51" t="n">
        <v>0</v>
      </c>
      <c r="X100" s="52" t="n">
        <f aca="false">Q100+T100+U100+V100+W100</f>
        <v>29736</v>
      </c>
      <c r="Y100" s="52" t="n">
        <f aca="false">ROUND(Q100*AT100,0)</f>
        <v>0</v>
      </c>
      <c r="Z100" s="52" t="n">
        <f aca="false">X100-Y100</f>
        <v>29736</v>
      </c>
      <c r="AA100" s="47"/>
      <c r="AB100" s="47"/>
      <c r="AC100" s="47"/>
      <c r="AD100" s="47" t="s">
        <v>177</v>
      </c>
      <c r="AE100" s="47" t="s">
        <v>116</v>
      </c>
      <c r="AF100" s="47" t="s">
        <v>117</v>
      </c>
      <c r="AG100" s="47" t="s">
        <v>578</v>
      </c>
      <c r="AH100" s="48"/>
      <c r="AI100" s="47"/>
      <c r="AJ100" s="47"/>
      <c r="AK100" s="47" t="s">
        <v>579</v>
      </c>
      <c r="AL100" s="55" t="s">
        <v>580</v>
      </c>
      <c r="AM100" s="55" t="s">
        <v>581</v>
      </c>
      <c r="AN100" s="47"/>
      <c r="AO100" s="47"/>
      <c r="AP100" s="47"/>
      <c r="AQ100" s="47"/>
      <c r="AR100" s="47" t="s">
        <v>582</v>
      </c>
      <c r="AS100" s="47" t="s">
        <v>583</v>
      </c>
      <c r="AT100" s="54" t="n">
        <v>0</v>
      </c>
    </row>
    <row r="101" customFormat="false" ht="14.25" hidden="false" customHeight="true" outlineLevel="0" collapsed="false">
      <c r="A101" s="47" t="n">
        <v>97</v>
      </c>
      <c r="B101" s="47" t="s">
        <v>572</v>
      </c>
      <c r="C101" s="47" t="s">
        <v>573</v>
      </c>
      <c r="D101" s="48" t="n">
        <v>46203</v>
      </c>
      <c r="E101" s="49" t="n">
        <f aca="false">YEAR(D101)</f>
        <v>2026</v>
      </c>
      <c r="F101" s="50" t="str">
        <f aca="false">TEXT(D101,"mmm")</f>
        <v>Jun</v>
      </c>
      <c r="G101" s="47" t="s">
        <v>574</v>
      </c>
      <c r="H101" s="47" t="s">
        <v>575</v>
      </c>
      <c r="I101" s="47"/>
      <c r="J101" s="47" t="s">
        <v>584</v>
      </c>
      <c r="K101" s="55" t="s">
        <v>585</v>
      </c>
      <c r="L101" s="47"/>
      <c r="M101" s="47" t="n">
        <v>1</v>
      </c>
      <c r="N101" s="47" t="s">
        <v>586</v>
      </c>
      <c r="O101" s="51" t="n">
        <v>1500</v>
      </c>
      <c r="P101" s="51" t="n">
        <v>0</v>
      </c>
      <c r="Q101" s="52" t="n">
        <f aca="false">M101*O101-P101</f>
        <v>1500</v>
      </c>
      <c r="R101" s="53" t="n">
        <v>0.18</v>
      </c>
      <c r="S101" s="47" t="s">
        <v>37</v>
      </c>
      <c r="T101" s="52" t="n">
        <f aca="false">IF(S101="IGST",ROUND(Q101*R101,2),0)</f>
        <v>270</v>
      </c>
      <c r="U101" s="52" t="n">
        <f aca="false">IF(S101="CGST+SGST",ROUND(Q101*R101/2,2),0)</f>
        <v>0</v>
      </c>
      <c r="V101" s="52" t="n">
        <f aca="false">U101</f>
        <v>0</v>
      </c>
      <c r="W101" s="51" t="n">
        <v>0</v>
      </c>
      <c r="X101" s="52" t="n">
        <f aca="false">Q101+T101+U101+V101+W101</f>
        <v>1770</v>
      </c>
      <c r="Y101" s="52" t="n">
        <f aca="false">ROUND(Q101*AT101,0)</f>
        <v>0</v>
      </c>
      <c r="Z101" s="52" t="n">
        <f aca="false">X101-Y101</f>
        <v>1770</v>
      </c>
      <c r="AA101" s="47"/>
      <c r="AB101" s="47"/>
      <c r="AC101" s="47"/>
      <c r="AD101" s="47" t="s">
        <v>177</v>
      </c>
      <c r="AE101" s="47" t="s">
        <v>116</v>
      </c>
      <c r="AF101" s="47" t="s">
        <v>117</v>
      </c>
      <c r="AG101" s="47" t="s">
        <v>578</v>
      </c>
      <c r="AH101" s="48"/>
      <c r="AI101" s="47"/>
      <c r="AJ101" s="47"/>
      <c r="AK101" s="47" t="s">
        <v>579</v>
      </c>
      <c r="AL101" s="55" t="s">
        <v>580</v>
      </c>
      <c r="AM101" s="55" t="s">
        <v>581</v>
      </c>
      <c r="AN101" s="47"/>
      <c r="AO101" s="47"/>
      <c r="AP101" s="47"/>
      <c r="AQ101" s="47"/>
      <c r="AR101" s="47" t="s">
        <v>582</v>
      </c>
      <c r="AS101" s="47" t="s">
        <v>583</v>
      </c>
      <c r="AT101" s="54" t="n">
        <v>0</v>
      </c>
    </row>
    <row r="102" customFormat="false" ht="14.25" hidden="false" customHeight="true" outlineLevel="0" collapsed="false">
      <c r="A102" s="47" t="n">
        <v>98</v>
      </c>
      <c r="B102" s="47" t="s">
        <v>587</v>
      </c>
      <c r="C102" s="55" t="s">
        <v>588</v>
      </c>
      <c r="D102" s="48" t="n">
        <v>46295</v>
      </c>
      <c r="E102" s="49" t="n">
        <f aca="false">YEAR(D102)</f>
        <v>2026</v>
      </c>
      <c r="F102" s="50" t="str">
        <f aca="false">TEXT(D102,"mmm")</f>
        <v>Sep</v>
      </c>
      <c r="G102" s="47" t="s">
        <v>589</v>
      </c>
      <c r="H102" s="47"/>
      <c r="I102" s="47"/>
      <c r="J102" s="47" t="s">
        <v>590</v>
      </c>
      <c r="K102" s="47"/>
      <c r="L102" s="47"/>
      <c r="M102" s="47" t="n">
        <v>1</v>
      </c>
      <c r="N102" s="47" t="s">
        <v>232</v>
      </c>
      <c r="O102" s="51" t="n">
        <v>50000</v>
      </c>
      <c r="P102" s="51" t="n">
        <v>0</v>
      </c>
      <c r="Q102" s="52" t="n">
        <f aca="false">M102*O102-P102</f>
        <v>50000</v>
      </c>
      <c r="R102" s="53" t="n">
        <v>0</v>
      </c>
      <c r="S102" s="47" t="s">
        <v>43</v>
      </c>
      <c r="T102" s="52" t="n">
        <f aca="false">IF(S102="IGST",ROUND(Q102*R102,2),0)</f>
        <v>0</v>
      </c>
      <c r="U102" s="52" t="n">
        <f aca="false">IF(S102="CGST+SGST",ROUND(Q102*R102/2,2),0)</f>
        <v>0</v>
      </c>
      <c r="V102" s="52" t="n">
        <f aca="false">U102</f>
        <v>0</v>
      </c>
      <c r="W102" s="51" t="n">
        <v>0</v>
      </c>
      <c r="X102" s="52" t="n">
        <f aca="false">Q102+T102+U102+V102+W102</f>
        <v>50000</v>
      </c>
      <c r="Y102" s="52" t="n">
        <f aca="false">ROUND(Q102*AT102,0)</f>
        <v>0</v>
      </c>
      <c r="Z102" s="52" t="n">
        <f aca="false">X102-Y102</f>
        <v>50000</v>
      </c>
      <c r="AA102" s="47"/>
      <c r="AB102" s="47"/>
      <c r="AC102" s="47"/>
      <c r="AD102" s="47" t="s">
        <v>386</v>
      </c>
      <c r="AE102" s="47" t="s">
        <v>176</v>
      </c>
      <c r="AF102" s="47" t="s">
        <v>177</v>
      </c>
      <c r="AG102" s="47"/>
      <c r="AH102" s="48"/>
      <c r="AI102" s="47"/>
      <c r="AJ102" s="47" t="s">
        <v>591</v>
      </c>
      <c r="AK102" s="47"/>
      <c r="AL102" s="47"/>
      <c r="AM102" s="47"/>
      <c r="AN102" s="47"/>
      <c r="AO102" s="47"/>
      <c r="AP102" s="47"/>
      <c r="AQ102" s="47"/>
      <c r="AR102" s="47" t="s">
        <v>592</v>
      </c>
      <c r="AS102" s="47" t="s">
        <v>593</v>
      </c>
      <c r="AT102" s="54" t="n">
        <v>0</v>
      </c>
    </row>
    <row r="103" customFormat="false" ht="14.25" hidden="false" customHeight="true" outlineLevel="0" collapsed="false">
      <c r="A103" s="47" t="n">
        <v>99</v>
      </c>
      <c r="B103" s="47" t="s">
        <v>594</v>
      </c>
      <c r="C103" s="47" t="s">
        <v>595</v>
      </c>
      <c r="D103" s="48" t="n">
        <v>46291</v>
      </c>
      <c r="E103" s="49" t="n">
        <f aca="false">YEAR(D103)</f>
        <v>2026</v>
      </c>
      <c r="F103" s="50" t="str">
        <f aca="false">TEXT(D103,"mmm")</f>
        <v>Sep</v>
      </c>
      <c r="G103" s="47" t="s">
        <v>596</v>
      </c>
      <c r="H103" s="47" t="s">
        <v>597</v>
      </c>
      <c r="I103" s="47"/>
      <c r="J103" s="47" t="s">
        <v>598</v>
      </c>
      <c r="K103" s="47"/>
      <c r="L103" s="47"/>
      <c r="M103" s="47" t="n">
        <v>1</v>
      </c>
      <c r="N103" s="47" t="s">
        <v>171</v>
      </c>
      <c r="O103" s="51" t="n">
        <v>25000</v>
      </c>
      <c r="P103" s="51" t="n">
        <v>12500</v>
      </c>
      <c r="Q103" s="52" t="n">
        <f aca="false">M103*O103-P103</f>
        <v>12500</v>
      </c>
      <c r="R103" s="53" t="n">
        <v>0.05</v>
      </c>
      <c r="S103" s="47" t="s">
        <v>39</v>
      </c>
      <c r="T103" s="52" t="n">
        <f aca="false">IF(S103="IGST",ROUND(Q103*R103,2),0)</f>
        <v>0</v>
      </c>
      <c r="U103" s="52" t="n">
        <f aca="false">IF(S103="CGST+SGST",ROUND(Q103*R103/2,2),0)</f>
        <v>312.5</v>
      </c>
      <c r="V103" s="52" t="n">
        <f aca="false">U103</f>
        <v>312.5</v>
      </c>
      <c r="W103" s="51" t="n">
        <v>0</v>
      </c>
      <c r="X103" s="52" t="n">
        <f aca="false">Q103+T103+U103+V103+W103</f>
        <v>13125</v>
      </c>
      <c r="Y103" s="52" t="n">
        <f aca="false">ROUND(Q103*AT103,0)</f>
        <v>0</v>
      </c>
      <c r="Z103" s="52" t="n">
        <f aca="false">X103-Y103</f>
        <v>13125</v>
      </c>
      <c r="AA103" s="47"/>
      <c r="AB103" s="47"/>
      <c r="AC103" s="47"/>
      <c r="AD103" s="47" t="s">
        <v>177</v>
      </c>
      <c r="AE103" s="47" t="s">
        <v>599</v>
      </c>
      <c r="AF103" s="47" t="s">
        <v>177</v>
      </c>
      <c r="AG103" s="47"/>
      <c r="AH103" s="48"/>
      <c r="AI103" s="47"/>
      <c r="AJ103" s="47" t="s">
        <v>600</v>
      </c>
      <c r="AK103" s="47"/>
      <c r="AL103" s="47"/>
      <c r="AM103" s="47"/>
      <c r="AN103" s="47"/>
      <c r="AO103" s="47"/>
      <c r="AP103" s="47"/>
      <c r="AQ103" s="47"/>
      <c r="AR103" s="47" t="s">
        <v>601</v>
      </c>
      <c r="AS103" s="47" t="s">
        <v>602</v>
      </c>
      <c r="AT103" s="54" t="n">
        <v>0</v>
      </c>
    </row>
    <row r="104" customFormat="false" ht="14.25" hidden="false" customHeight="true" outlineLevel="0" collapsed="false">
      <c r="A104" s="47" t="n">
        <v>100</v>
      </c>
      <c r="B104" s="47" t="s">
        <v>594</v>
      </c>
      <c r="C104" s="47" t="s">
        <v>595</v>
      </c>
      <c r="D104" s="48" t="n">
        <v>46291</v>
      </c>
      <c r="E104" s="49" t="n">
        <f aca="false">YEAR(D104)</f>
        <v>2026</v>
      </c>
      <c r="F104" s="50" t="str">
        <f aca="false">TEXT(D104,"mmm")</f>
        <v>Sep</v>
      </c>
      <c r="G104" s="47" t="s">
        <v>596</v>
      </c>
      <c r="H104" s="47" t="s">
        <v>597</v>
      </c>
      <c r="I104" s="47"/>
      <c r="J104" s="47" t="s">
        <v>603</v>
      </c>
      <c r="K104" s="47"/>
      <c r="L104" s="47"/>
      <c r="M104" s="47" t="n">
        <v>20</v>
      </c>
      <c r="N104" s="47" t="s">
        <v>604</v>
      </c>
      <c r="O104" s="51" t="n">
        <v>150</v>
      </c>
      <c r="P104" s="51" t="n">
        <v>1500</v>
      </c>
      <c r="Q104" s="52" t="n">
        <f aca="false">M104*O104-P104</f>
        <v>1500</v>
      </c>
      <c r="R104" s="53" t="n">
        <v>0.05</v>
      </c>
      <c r="S104" s="47" t="s">
        <v>39</v>
      </c>
      <c r="T104" s="52" t="n">
        <f aca="false">IF(S104="IGST",ROUND(Q104*R104,2),0)</f>
        <v>0</v>
      </c>
      <c r="U104" s="52" t="n">
        <f aca="false">IF(S104="CGST+SGST",ROUND(Q104*R104/2,2),0)</f>
        <v>37.5</v>
      </c>
      <c r="V104" s="52" t="n">
        <f aca="false">U104</f>
        <v>37.5</v>
      </c>
      <c r="W104" s="51" t="n">
        <v>0</v>
      </c>
      <c r="X104" s="52" t="n">
        <f aca="false">Q104+T104+U104+V104+W104</f>
        <v>1575</v>
      </c>
      <c r="Y104" s="52" t="n">
        <f aca="false">ROUND(Q104*AT104,0)</f>
        <v>0</v>
      </c>
      <c r="Z104" s="52" t="n">
        <f aca="false">X104-Y104</f>
        <v>1575</v>
      </c>
      <c r="AA104" s="47"/>
      <c r="AB104" s="47"/>
      <c r="AC104" s="47"/>
      <c r="AD104" s="47" t="s">
        <v>177</v>
      </c>
      <c r="AE104" s="47" t="s">
        <v>599</v>
      </c>
      <c r="AF104" s="47" t="s">
        <v>177</v>
      </c>
      <c r="AG104" s="47"/>
      <c r="AH104" s="48"/>
      <c r="AI104" s="47"/>
      <c r="AJ104" s="47" t="s">
        <v>600</v>
      </c>
      <c r="AK104" s="47"/>
      <c r="AL104" s="47"/>
      <c r="AM104" s="47"/>
      <c r="AN104" s="47"/>
      <c r="AO104" s="47"/>
      <c r="AP104" s="47"/>
      <c r="AQ104" s="47"/>
      <c r="AR104" s="47" t="s">
        <v>601</v>
      </c>
      <c r="AS104" s="47" t="s">
        <v>602</v>
      </c>
      <c r="AT104" s="54" t="n">
        <v>0</v>
      </c>
    </row>
    <row r="105" customFormat="false" ht="14.25" hidden="false" customHeight="true" outlineLevel="0" collapsed="false">
      <c r="A105" s="47" t="n">
        <v>101</v>
      </c>
      <c r="B105" s="47" t="s">
        <v>594</v>
      </c>
      <c r="C105" s="47" t="s">
        <v>595</v>
      </c>
      <c r="D105" s="48" t="n">
        <v>46291</v>
      </c>
      <c r="E105" s="49" t="n">
        <f aca="false">YEAR(D105)</f>
        <v>2026</v>
      </c>
      <c r="F105" s="50" t="str">
        <f aca="false">TEXT(D105,"mmm")</f>
        <v>Sep</v>
      </c>
      <c r="G105" s="47" t="s">
        <v>596</v>
      </c>
      <c r="H105" s="47" t="s">
        <v>597</v>
      </c>
      <c r="I105" s="47"/>
      <c r="J105" s="47" t="s">
        <v>605</v>
      </c>
      <c r="K105" s="47"/>
      <c r="L105" s="47"/>
      <c r="M105" s="47" t="n">
        <v>20</v>
      </c>
      <c r="N105" s="47" t="s">
        <v>604</v>
      </c>
      <c r="O105" s="51" t="n">
        <v>150</v>
      </c>
      <c r="P105" s="51" t="n">
        <v>1500</v>
      </c>
      <c r="Q105" s="52" t="n">
        <f aca="false">M105*O105-P105</f>
        <v>1500</v>
      </c>
      <c r="R105" s="53" t="n">
        <v>0.05</v>
      </c>
      <c r="S105" s="47" t="s">
        <v>39</v>
      </c>
      <c r="T105" s="52" t="n">
        <f aca="false">IF(S105="IGST",ROUND(Q105*R105,2),0)</f>
        <v>0</v>
      </c>
      <c r="U105" s="52" t="n">
        <f aca="false">IF(S105="CGST+SGST",ROUND(Q105*R105/2,2),0)</f>
        <v>37.5</v>
      </c>
      <c r="V105" s="52" t="n">
        <f aca="false">U105</f>
        <v>37.5</v>
      </c>
      <c r="W105" s="51" t="n">
        <v>0</v>
      </c>
      <c r="X105" s="52" t="n">
        <f aca="false">Q105+T105+U105+V105+W105</f>
        <v>1575</v>
      </c>
      <c r="Y105" s="52" t="n">
        <f aca="false">ROUND(Q105*AT105,0)</f>
        <v>0</v>
      </c>
      <c r="Z105" s="52" t="n">
        <f aca="false">X105-Y105</f>
        <v>1575</v>
      </c>
      <c r="AA105" s="47"/>
      <c r="AB105" s="47"/>
      <c r="AC105" s="47"/>
      <c r="AD105" s="47" t="s">
        <v>177</v>
      </c>
      <c r="AE105" s="47" t="s">
        <v>599</v>
      </c>
      <c r="AF105" s="47" t="s">
        <v>177</v>
      </c>
      <c r="AG105" s="47"/>
      <c r="AH105" s="48"/>
      <c r="AI105" s="47"/>
      <c r="AJ105" s="47" t="s">
        <v>600</v>
      </c>
      <c r="AK105" s="47"/>
      <c r="AL105" s="47"/>
      <c r="AM105" s="47"/>
      <c r="AN105" s="47"/>
      <c r="AO105" s="47"/>
      <c r="AP105" s="47"/>
      <c r="AQ105" s="47"/>
      <c r="AR105" s="47" t="s">
        <v>601</v>
      </c>
      <c r="AS105" s="47" t="s">
        <v>602</v>
      </c>
      <c r="AT105" s="54" t="n">
        <v>0</v>
      </c>
    </row>
    <row r="106" customFormat="false" ht="14.25" hidden="false" customHeight="true" outlineLevel="0" collapsed="false">
      <c r="A106" s="47" t="n">
        <v>102</v>
      </c>
      <c r="B106" s="47" t="s">
        <v>594</v>
      </c>
      <c r="C106" s="47" t="s">
        <v>595</v>
      </c>
      <c r="D106" s="48" t="n">
        <v>46291</v>
      </c>
      <c r="E106" s="49" t="n">
        <f aca="false">YEAR(D106)</f>
        <v>2026</v>
      </c>
      <c r="F106" s="50" t="str">
        <f aca="false">TEXT(D106,"mmm")</f>
        <v>Sep</v>
      </c>
      <c r="G106" s="47" t="s">
        <v>596</v>
      </c>
      <c r="H106" s="47" t="s">
        <v>597</v>
      </c>
      <c r="I106" s="47"/>
      <c r="J106" s="47" t="s">
        <v>606</v>
      </c>
      <c r="K106" s="47"/>
      <c r="L106" s="47"/>
      <c r="M106" s="47" t="n">
        <v>20</v>
      </c>
      <c r="N106" s="47" t="s">
        <v>604</v>
      </c>
      <c r="O106" s="51" t="n">
        <v>150</v>
      </c>
      <c r="P106" s="51" t="n">
        <v>1500</v>
      </c>
      <c r="Q106" s="52" t="n">
        <f aca="false">M106*O106-P106</f>
        <v>1500</v>
      </c>
      <c r="R106" s="53" t="n">
        <v>0.05</v>
      </c>
      <c r="S106" s="47" t="s">
        <v>39</v>
      </c>
      <c r="T106" s="52" t="n">
        <f aca="false">IF(S106="IGST",ROUND(Q106*R106,2),0)</f>
        <v>0</v>
      </c>
      <c r="U106" s="52" t="n">
        <f aca="false">IF(S106="CGST+SGST",ROUND(Q106*R106/2,2),0)</f>
        <v>37.5</v>
      </c>
      <c r="V106" s="52" t="n">
        <f aca="false">U106</f>
        <v>37.5</v>
      </c>
      <c r="W106" s="51" t="n">
        <v>0</v>
      </c>
      <c r="X106" s="52" t="n">
        <f aca="false">Q106+T106+U106+V106+W106</f>
        <v>1575</v>
      </c>
      <c r="Y106" s="52" t="n">
        <f aca="false">ROUND(Q106*AT106,0)</f>
        <v>0</v>
      </c>
      <c r="Z106" s="52" t="n">
        <f aca="false">X106-Y106</f>
        <v>1575</v>
      </c>
      <c r="AA106" s="47"/>
      <c r="AB106" s="47"/>
      <c r="AC106" s="47"/>
      <c r="AD106" s="47" t="s">
        <v>177</v>
      </c>
      <c r="AE106" s="47" t="s">
        <v>599</v>
      </c>
      <c r="AF106" s="47" t="s">
        <v>177</v>
      </c>
      <c r="AG106" s="47"/>
      <c r="AH106" s="48"/>
      <c r="AI106" s="47"/>
      <c r="AJ106" s="47" t="s">
        <v>600</v>
      </c>
      <c r="AK106" s="47"/>
      <c r="AL106" s="47"/>
      <c r="AM106" s="47"/>
      <c r="AN106" s="47"/>
      <c r="AO106" s="47"/>
      <c r="AP106" s="47"/>
      <c r="AQ106" s="47"/>
      <c r="AR106" s="47" t="s">
        <v>601</v>
      </c>
      <c r="AS106" s="47" t="s">
        <v>602</v>
      </c>
      <c r="AT106" s="54" t="n">
        <v>0</v>
      </c>
    </row>
    <row r="107" customFormat="false" ht="14.25" hidden="false" customHeight="true" outlineLevel="0" collapsed="false">
      <c r="A107" s="47" t="n">
        <v>103</v>
      </c>
      <c r="B107" s="47" t="s">
        <v>594</v>
      </c>
      <c r="C107" s="47" t="s">
        <v>595</v>
      </c>
      <c r="D107" s="48" t="n">
        <v>46291</v>
      </c>
      <c r="E107" s="49" t="n">
        <f aca="false">YEAR(D107)</f>
        <v>2026</v>
      </c>
      <c r="F107" s="50" t="str">
        <f aca="false">TEXT(D107,"mmm")</f>
        <v>Sep</v>
      </c>
      <c r="G107" s="47" t="s">
        <v>596</v>
      </c>
      <c r="H107" s="47" t="s">
        <v>597</v>
      </c>
      <c r="I107" s="47"/>
      <c r="J107" s="47" t="s">
        <v>607</v>
      </c>
      <c r="K107" s="47"/>
      <c r="L107" s="47"/>
      <c r="M107" s="47" t="n">
        <v>20</v>
      </c>
      <c r="N107" s="47" t="s">
        <v>604</v>
      </c>
      <c r="O107" s="51" t="n">
        <v>175</v>
      </c>
      <c r="P107" s="51" t="n">
        <v>1750</v>
      </c>
      <c r="Q107" s="52" t="n">
        <f aca="false">M107*O107-P107</f>
        <v>1750</v>
      </c>
      <c r="R107" s="53" t="n">
        <v>0.05</v>
      </c>
      <c r="S107" s="47" t="s">
        <v>39</v>
      </c>
      <c r="T107" s="52" t="n">
        <f aca="false">IF(S107="IGST",ROUND(Q107*R107,2),0)</f>
        <v>0</v>
      </c>
      <c r="U107" s="52" t="n">
        <f aca="false">IF(S107="CGST+SGST",ROUND(Q107*R107/2,2),0)</f>
        <v>43.75</v>
      </c>
      <c r="V107" s="52" t="n">
        <f aca="false">U107</f>
        <v>43.75</v>
      </c>
      <c r="W107" s="51" t="n">
        <v>0</v>
      </c>
      <c r="X107" s="52" t="n">
        <f aca="false">Q107+T107+U107+V107+W107</f>
        <v>1837.5</v>
      </c>
      <c r="Y107" s="52" t="n">
        <f aca="false">ROUND(Q107*AT107,0)</f>
        <v>0</v>
      </c>
      <c r="Z107" s="52" t="n">
        <f aca="false">X107-Y107</f>
        <v>1837.5</v>
      </c>
      <c r="AA107" s="47"/>
      <c r="AB107" s="47"/>
      <c r="AC107" s="47"/>
      <c r="AD107" s="47" t="s">
        <v>177</v>
      </c>
      <c r="AE107" s="47" t="s">
        <v>599</v>
      </c>
      <c r="AF107" s="47" t="s">
        <v>177</v>
      </c>
      <c r="AG107" s="47"/>
      <c r="AH107" s="48"/>
      <c r="AI107" s="47"/>
      <c r="AJ107" s="47" t="s">
        <v>600</v>
      </c>
      <c r="AK107" s="47"/>
      <c r="AL107" s="47"/>
      <c r="AM107" s="47"/>
      <c r="AN107" s="47"/>
      <c r="AO107" s="47"/>
      <c r="AP107" s="47"/>
      <c r="AQ107" s="47"/>
      <c r="AR107" s="47" t="s">
        <v>601</v>
      </c>
      <c r="AS107" s="47" t="s">
        <v>602</v>
      </c>
      <c r="AT107" s="54" t="n">
        <v>0</v>
      </c>
    </row>
    <row r="108" customFormat="false" ht="14.25" hidden="false" customHeight="true" outlineLevel="0" collapsed="false">
      <c r="A108" s="47" t="n">
        <v>104</v>
      </c>
      <c r="B108" s="47" t="s">
        <v>594</v>
      </c>
      <c r="C108" s="47" t="s">
        <v>595</v>
      </c>
      <c r="D108" s="48" t="n">
        <v>46291</v>
      </c>
      <c r="E108" s="49" t="n">
        <f aca="false">YEAR(D108)</f>
        <v>2026</v>
      </c>
      <c r="F108" s="50" t="str">
        <f aca="false">TEXT(D108,"mmm")</f>
        <v>Sep</v>
      </c>
      <c r="G108" s="47" t="s">
        <v>596</v>
      </c>
      <c r="H108" s="47" t="s">
        <v>597</v>
      </c>
      <c r="I108" s="47"/>
      <c r="J108" s="47" t="s">
        <v>608</v>
      </c>
      <c r="K108" s="47"/>
      <c r="L108" s="47"/>
      <c r="M108" s="47" t="n">
        <v>20</v>
      </c>
      <c r="N108" s="47" t="s">
        <v>604</v>
      </c>
      <c r="O108" s="51" t="n">
        <v>200</v>
      </c>
      <c r="P108" s="51" t="n">
        <v>2000</v>
      </c>
      <c r="Q108" s="52" t="n">
        <f aca="false">M108*O108-P108</f>
        <v>2000</v>
      </c>
      <c r="R108" s="53" t="n">
        <v>0.05</v>
      </c>
      <c r="S108" s="47" t="s">
        <v>39</v>
      </c>
      <c r="T108" s="52" t="n">
        <f aca="false">IF(S108="IGST",ROUND(Q108*R108,2),0)</f>
        <v>0</v>
      </c>
      <c r="U108" s="52" t="n">
        <f aca="false">IF(S108="CGST+SGST",ROUND(Q108*R108/2,2),0)</f>
        <v>50</v>
      </c>
      <c r="V108" s="52" t="n">
        <f aca="false">U108</f>
        <v>50</v>
      </c>
      <c r="W108" s="51" t="n">
        <v>0</v>
      </c>
      <c r="X108" s="52" t="n">
        <f aca="false">Q108+T108+U108+V108+W108</f>
        <v>2100</v>
      </c>
      <c r="Y108" s="52" t="n">
        <f aca="false">ROUND(Q108*AT108,0)</f>
        <v>0</v>
      </c>
      <c r="Z108" s="52" t="n">
        <f aca="false">X108-Y108</f>
        <v>2100</v>
      </c>
      <c r="AA108" s="47"/>
      <c r="AB108" s="47"/>
      <c r="AC108" s="47"/>
      <c r="AD108" s="47" t="s">
        <v>177</v>
      </c>
      <c r="AE108" s="47" t="s">
        <v>599</v>
      </c>
      <c r="AF108" s="47" t="s">
        <v>177</v>
      </c>
      <c r="AG108" s="47"/>
      <c r="AH108" s="48"/>
      <c r="AI108" s="47"/>
      <c r="AJ108" s="47" t="s">
        <v>600</v>
      </c>
      <c r="AK108" s="47"/>
      <c r="AL108" s="47"/>
      <c r="AM108" s="47"/>
      <c r="AN108" s="47"/>
      <c r="AO108" s="47"/>
      <c r="AP108" s="47"/>
      <c r="AQ108" s="47"/>
      <c r="AR108" s="47" t="s">
        <v>601</v>
      </c>
      <c r="AS108" s="47" t="s">
        <v>602</v>
      </c>
      <c r="AT108" s="54" t="n">
        <v>0</v>
      </c>
    </row>
    <row r="109" customFormat="false" ht="14.25" hidden="false" customHeight="true" outlineLevel="0" collapsed="false">
      <c r="A109" s="47" t="n">
        <v>105</v>
      </c>
      <c r="B109" s="47" t="s">
        <v>594</v>
      </c>
      <c r="C109" s="47" t="s">
        <v>595</v>
      </c>
      <c r="D109" s="48" t="n">
        <v>46291</v>
      </c>
      <c r="E109" s="49" t="n">
        <f aca="false">YEAR(D109)</f>
        <v>2026</v>
      </c>
      <c r="F109" s="50" t="str">
        <f aca="false">TEXT(D109,"mmm")</f>
        <v>Sep</v>
      </c>
      <c r="G109" s="47" t="s">
        <v>596</v>
      </c>
      <c r="H109" s="47" t="s">
        <v>597</v>
      </c>
      <c r="I109" s="47"/>
      <c r="J109" s="47" t="s">
        <v>609</v>
      </c>
      <c r="K109" s="47"/>
      <c r="L109" s="47"/>
      <c r="M109" s="47" t="n">
        <v>15</v>
      </c>
      <c r="N109" s="47" t="s">
        <v>604</v>
      </c>
      <c r="O109" s="51" t="n">
        <v>175</v>
      </c>
      <c r="P109" s="51" t="n">
        <v>1312.5</v>
      </c>
      <c r="Q109" s="52" t="n">
        <f aca="false">M109*O109-P109</f>
        <v>1312.5</v>
      </c>
      <c r="R109" s="53" t="n">
        <v>0.05</v>
      </c>
      <c r="S109" s="47" t="s">
        <v>39</v>
      </c>
      <c r="T109" s="52" t="n">
        <f aca="false">IF(S109="IGST",ROUND(Q109*R109,2),0)</f>
        <v>0</v>
      </c>
      <c r="U109" s="52" t="n">
        <f aca="false">IF(S109="CGST+SGST",ROUND(Q109*R109/2,2),0)</f>
        <v>32.81</v>
      </c>
      <c r="V109" s="52" t="n">
        <f aca="false">U109</f>
        <v>32.81</v>
      </c>
      <c r="W109" s="51" t="n">
        <v>0</v>
      </c>
      <c r="X109" s="52" t="n">
        <f aca="false">Q109+T109+U109+V109+W109</f>
        <v>1378.12</v>
      </c>
      <c r="Y109" s="52" t="n">
        <f aca="false">ROUND(Q109*AT109,0)</f>
        <v>0</v>
      </c>
      <c r="Z109" s="52" t="n">
        <f aca="false">X109-Y109</f>
        <v>1378.12</v>
      </c>
      <c r="AA109" s="47"/>
      <c r="AB109" s="47"/>
      <c r="AC109" s="47"/>
      <c r="AD109" s="47" t="s">
        <v>177</v>
      </c>
      <c r="AE109" s="47" t="s">
        <v>599</v>
      </c>
      <c r="AF109" s="47" t="s">
        <v>177</v>
      </c>
      <c r="AG109" s="47"/>
      <c r="AH109" s="48"/>
      <c r="AI109" s="47"/>
      <c r="AJ109" s="47" t="s">
        <v>600</v>
      </c>
      <c r="AK109" s="47"/>
      <c r="AL109" s="47"/>
      <c r="AM109" s="47"/>
      <c r="AN109" s="47"/>
      <c r="AO109" s="47"/>
      <c r="AP109" s="47"/>
      <c r="AQ109" s="47"/>
      <c r="AR109" s="47" t="s">
        <v>601</v>
      </c>
      <c r="AS109" s="47" t="s">
        <v>602</v>
      </c>
      <c r="AT109" s="54" t="n">
        <v>0</v>
      </c>
    </row>
    <row r="110" customFormat="false" ht="14.25" hidden="false" customHeight="true" outlineLevel="0" collapsed="false">
      <c r="A110" s="47" t="n">
        <v>106</v>
      </c>
      <c r="B110" s="47" t="s">
        <v>594</v>
      </c>
      <c r="C110" s="47" t="s">
        <v>595</v>
      </c>
      <c r="D110" s="48" t="n">
        <v>46291</v>
      </c>
      <c r="E110" s="49" t="n">
        <f aca="false">YEAR(D110)</f>
        <v>2026</v>
      </c>
      <c r="F110" s="50" t="str">
        <f aca="false">TEXT(D110,"mmm")</f>
        <v>Sep</v>
      </c>
      <c r="G110" s="47" t="s">
        <v>596</v>
      </c>
      <c r="H110" s="47" t="s">
        <v>597</v>
      </c>
      <c r="I110" s="47"/>
      <c r="J110" s="47" t="s">
        <v>610</v>
      </c>
      <c r="K110" s="47"/>
      <c r="L110" s="47"/>
      <c r="M110" s="47" t="n">
        <v>15</v>
      </c>
      <c r="N110" s="47" t="s">
        <v>604</v>
      </c>
      <c r="O110" s="51" t="n">
        <v>195</v>
      </c>
      <c r="P110" s="51" t="n">
        <v>1462.5</v>
      </c>
      <c r="Q110" s="52" t="n">
        <f aca="false">M110*O110-P110</f>
        <v>1462.5</v>
      </c>
      <c r="R110" s="53" t="n">
        <v>0.05</v>
      </c>
      <c r="S110" s="47" t="s">
        <v>39</v>
      </c>
      <c r="T110" s="52" t="n">
        <f aca="false">IF(S110="IGST",ROUND(Q110*R110,2),0)</f>
        <v>0</v>
      </c>
      <c r="U110" s="52" t="n">
        <f aca="false">IF(S110="CGST+SGST",ROUND(Q110*R110/2,2),0)</f>
        <v>36.56</v>
      </c>
      <c r="V110" s="52" t="n">
        <f aca="false">U110</f>
        <v>36.56</v>
      </c>
      <c r="W110" s="51" t="n">
        <v>0</v>
      </c>
      <c r="X110" s="52" t="n">
        <f aca="false">Q110+T110+U110+V110+W110</f>
        <v>1535.62</v>
      </c>
      <c r="Y110" s="52" t="n">
        <f aca="false">ROUND(Q110*AT110,0)</f>
        <v>0</v>
      </c>
      <c r="Z110" s="52" t="n">
        <f aca="false">X110-Y110</f>
        <v>1535.62</v>
      </c>
      <c r="AA110" s="47"/>
      <c r="AB110" s="47"/>
      <c r="AC110" s="47"/>
      <c r="AD110" s="47" t="s">
        <v>177</v>
      </c>
      <c r="AE110" s="47" t="s">
        <v>599</v>
      </c>
      <c r="AF110" s="47" t="s">
        <v>177</v>
      </c>
      <c r="AG110" s="47"/>
      <c r="AH110" s="48"/>
      <c r="AI110" s="47"/>
      <c r="AJ110" s="47" t="s">
        <v>600</v>
      </c>
      <c r="AK110" s="47"/>
      <c r="AL110" s="47"/>
      <c r="AM110" s="47"/>
      <c r="AN110" s="47"/>
      <c r="AO110" s="47"/>
      <c r="AP110" s="47"/>
      <c r="AQ110" s="47"/>
      <c r="AR110" s="47" t="s">
        <v>601</v>
      </c>
      <c r="AS110" s="47" t="s">
        <v>602</v>
      </c>
      <c r="AT110" s="54" t="n">
        <v>0</v>
      </c>
    </row>
    <row r="111" customFormat="false" ht="14.25" hidden="false" customHeight="true" outlineLevel="0" collapsed="false">
      <c r="A111" s="47" t="n">
        <v>107</v>
      </c>
      <c r="B111" s="47" t="s">
        <v>594</v>
      </c>
      <c r="C111" s="47" t="s">
        <v>595</v>
      </c>
      <c r="D111" s="48" t="n">
        <v>46291</v>
      </c>
      <c r="E111" s="49" t="n">
        <f aca="false">YEAR(D111)</f>
        <v>2026</v>
      </c>
      <c r="F111" s="50" t="str">
        <f aca="false">TEXT(D111,"mmm")</f>
        <v>Sep</v>
      </c>
      <c r="G111" s="47" t="s">
        <v>596</v>
      </c>
      <c r="H111" s="47" t="s">
        <v>597</v>
      </c>
      <c r="I111" s="47"/>
      <c r="J111" s="47" t="s">
        <v>611</v>
      </c>
      <c r="K111" s="47"/>
      <c r="L111" s="47"/>
      <c r="M111" s="47" t="n">
        <v>15</v>
      </c>
      <c r="N111" s="47" t="s">
        <v>604</v>
      </c>
      <c r="O111" s="51" t="n">
        <v>195</v>
      </c>
      <c r="P111" s="51" t="n">
        <v>1462.5</v>
      </c>
      <c r="Q111" s="52" t="n">
        <f aca="false">M111*O111-P111</f>
        <v>1462.5</v>
      </c>
      <c r="R111" s="53" t="n">
        <v>0.05</v>
      </c>
      <c r="S111" s="47" t="s">
        <v>39</v>
      </c>
      <c r="T111" s="52" t="n">
        <f aca="false">IF(S111="IGST",ROUND(Q111*R111,2),0)</f>
        <v>0</v>
      </c>
      <c r="U111" s="52" t="n">
        <f aca="false">IF(S111="CGST+SGST",ROUND(Q111*R111/2,2),0)</f>
        <v>36.56</v>
      </c>
      <c r="V111" s="52" t="n">
        <f aca="false">U111</f>
        <v>36.56</v>
      </c>
      <c r="W111" s="51" t="n">
        <v>0.14</v>
      </c>
      <c r="X111" s="52" t="n">
        <f aca="false">Q111+T111+U111+V111+W111</f>
        <v>1535.76</v>
      </c>
      <c r="Y111" s="52" t="n">
        <f aca="false">ROUND(Q111*AT111,0)</f>
        <v>0</v>
      </c>
      <c r="Z111" s="52" t="n">
        <f aca="false">X111-Y111</f>
        <v>1535.76</v>
      </c>
      <c r="AA111" s="47"/>
      <c r="AB111" s="47"/>
      <c r="AC111" s="47"/>
      <c r="AD111" s="47" t="s">
        <v>177</v>
      </c>
      <c r="AE111" s="47" t="s">
        <v>599</v>
      </c>
      <c r="AF111" s="47" t="s">
        <v>177</v>
      </c>
      <c r="AG111" s="47"/>
      <c r="AH111" s="48"/>
      <c r="AI111" s="47"/>
      <c r="AJ111" s="47" t="s">
        <v>600</v>
      </c>
      <c r="AK111" s="47"/>
      <c r="AL111" s="47"/>
      <c r="AM111" s="47"/>
      <c r="AN111" s="47"/>
      <c r="AO111" s="47"/>
      <c r="AP111" s="47"/>
      <c r="AQ111" s="47"/>
      <c r="AR111" s="47" t="s">
        <v>601</v>
      </c>
      <c r="AS111" s="47" t="s">
        <v>602</v>
      </c>
      <c r="AT111" s="54" t="n">
        <v>0</v>
      </c>
    </row>
    <row r="112" customFormat="false" ht="14.25" hidden="false" customHeight="true" outlineLevel="0" collapsed="false">
      <c r="A112" s="47" t="n">
        <v>108</v>
      </c>
      <c r="B112" s="47" t="s">
        <v>612</v>
      </c>
      <c r="C112" s="47" t="s">
        <v>613</v>
      </c>
      <c r="D112" s="48" t="n">
        <v>46289</v>
      </c>
      <c r="E112" s="49" t="n">
        <f aca="false">YEAR(D112)</f>
        <v>2026</v>
      </c>
      <c r="F112" s="50" t="str">
        <f aca="false">TEXT(D112,"mmm")</f>
        <v>Sep</v>
      </c>
      <c r="G112" s="47" t="s">
        <v>19</v>
      </c>
      <c r="H112" s="47" t="s">
        <v>614</v>
      </c>
      <c r="I112" s="47"/>
      <c r="J112" s="47" t="s">
        <v>615</v>
      </c>
      <c r="K112" s="55" t="s">
        <v>616</v>
      </c>
      <c r="L112" s="47"/>
      <c r="M112" s="47" t="n">
        <v>1</v>
      </c>
      <c r="N112" s="47" t="s">
        <v>171</v>
      </c>
      <c r="O112" s="51" t="n">
        <v>1325000</v>
      </c>
      <c r="P112" s="51" t="n">
        <v>0</v>
      </c>
      <c r="Q112" s="52" t="n">
        <f aca="false">M112*O112-P112</f>
        <v>1325000</v>
      </c>
      <c r="R112" s="53" t="n">
        <v>0.18</v>
      </c>
      <c r="S112" s="47" t="s">
        <v>39</v>
      </c>
      <c r="T112" s="52" t="n">
        <f aca="false">IF(S112="IGST",ROUND(Q112*R112,2),0)</f>
        <v>0</v>
      </c>
      <c r="U112" s="52" t="n">
        <f aca="false">IF(S112="CGST+SGST",ROUND(Q112*R112/2,2),0)</f>
        <v>119250</v>
      </c>
      <c r="V112" s="52" t="n">
        <f aca="false">U112</f>
        <v>119250</v>
      </c>
      <c r="W112" s="51" t="n">
        <v>0</v>
      </c>
      <c r="X112" s="52" t="n">
        <f aca="false">Q112+T112+U112+V112+W112</f>
        <v>1563500</v>
      </c>
      <c r="Y112" s="52" t="n">
        <f aca="false">ROUND(Q112*AT112,0)</f>
        <v>26500</v>
      </c>
      <c r="Z112" s="52" t="n">
        <f aca="false">X112-Y112</f>
        <v>1537000</v>
      </c>
      <c r="AA112" s="47"/>
      <c r="AB112" s="47"/>
      <c r="AC112" s="47"/>
      <c r="AD112" s="47" t="s">
        <v>443</v>
      </c>
      <c r="AE112" s="47" t="s">
        <v>444</v>
      </c>
      <c r="AF112" s="47" t="s">
        <v>443</v>
      </c>
      <c r="AG112" s="47"/>
      <c r="AH112" s="48"/>
      <c r="AI112" s="47"/>
      <c r="AJ112" s="47" t="s">
        <v>617</v>
      </c>
      <c r="AK112" s="47" t="s">
        <v>618</v>
      </c>
      <c r="AL112" s="47"/>
      <c r="AM112" s="47"/>
      <c r="AN112" s="47"/>
      <c r="AO112" s="47"/>
      <c r="AP112" s="47"/>
      <c r="AQ112" s="47"/>
      <c r="AR112" s="47" t="s">
        <v>619</v>
      </c>
      <c r="AS112" s="47" t="s">
        <v>620</v>
      </c>
      <c r="AT112" s="54" t="n">
        <v>0.02</v>
      </c>
    </row>
    <row r="113" customFormat="false" ht="14.25" hidden="false" customHeight="true" outlineLevel="0" collapsed="false">
      <c r="A113" s="47" t="n">
        <v>109</v>
      </c>
      <c r="B113" s="47" t="s">
        <v>621</v>
      </c>
      <c r="C113" s="47" t="s">
        <v>622</v>
      </c>
      <c r="D113" s="48" t="n">
        <v>46263</v>
      </c>
      <c r="E113" s="49" t="n">
        <f aca="false">YEAR(D113)</f>
        <v>2026</v>
      </c>
      <c r="F113" s="50" t="str">
        <f aca="false">TEXT(D113,"mmm")</f>
        <v>Aug</v>
      </c>
      <c r="G113" s="47" t="s">
        <v>623</v>
      </c>
      <c r="H113" s="47" t="s">
        <v>624</v>
      </c>
      <c r="I113" s="47"/>
      <c r="J113" s="47" t="s">
        <v>625</v>
      </c>
      <c r="K113" s="55" t="s">
        <v>626</v>
      </c>
      <c r="L113" s="47"/>
      <c r="M113" s="47" t="n">
        <v>10.7</v>
      </c>
      <c r="N113" s="47" t="s">
        <v>627</v>
      </c>
      <c r="O113" s="51" t="n">
        <v>562</v>
      </c>
      <c r="P113" s="51" t="n">
        <v>0</v>
      </c>
      <c r="Q113" s="52" t="n">
        <f aca="false">M113*O113-P113</f>
        <v>6013.4</v>
      </c>
      <c r="R113" s="53" t="n">
        <v>0.05</v>
      </c>
      <c r="S113" s="47" t="s">
        <v>39</v>
      </c>
      <c r="T113" s="52" t="n">
        <f aca="false">IF(S113="IGST",ROUND(Q113*R113,2),0)</f>
        <v>0</v>
      </c>
      <c r="U113" s="52" t="n">
        <f aca="false">IF(S113="CGST+SGST",ROUND(Q113*R113/2,2),0)</f>
        <v>150.34</v>
      </c>
      <c r="V113" s="52" t="n">
        <f aca="false">U113</f>
        <v>150.34</v>
      </c>
      <c r="W113" s="51" t="n">
        <v>0</v>
      </c>
      <c r="X113" s="52" t="n">
        <f aca="false">Q113+T113+U113+V113+W113</f>
        <v>6314.08</v>
      </c>
      <c r="Y113" s="52" t="n">
        <f aca="false">ROUND(Q113*AT113,0)</f>
        <v>0</v>
      </c>
      <c r="Z113" s="52" t="n">
        <f aca="false">X113-Y113</f>
        <v>6314.08</v>
      </c>
      <c r="AA113" s="47"/>
      <c r="AB113" s="47"/>
      <c r="AC113" s="47"/>
      <c r="AD113" s="47" t="s">
        <v>117</v>
      </c>
      <c r="AE113" s="47" t="s">
        <v>116</v>
      </c>
      <c r="AF113" s="47" t="s">
        <v>117</v>
      </c>
      <c r="AG113" s="47" t="s">
        <v>628</v>
      </c>
      <c r="AH113" s="48" t="n">
        <v>46232</v>
      </c>
      <c r="AI113" s="47"/>
      <c r="AJ113" s="47" t="s">
        <v>629</v>
      </c>
      <c r="AK113" s="47"/>
      <c r="AL113" s="47"/>
      <c r="AM113" s="47"/>
      <c r="AN113" s="47"/>
      <c r="AO113" s="47"/>
      <c r="AP113" s="47"/>
      <c r="AQ113" s="47"/>
      <c r="AR113" s="47" t="s">
        <v>630</v>
      </c>
      <c r="AS113" s="47" t="s">
        <v>583</v>
      </c>
      <c r="AT113" s="54" t="n">
        <v>0</v>
      </c>
    </row>
    <row r="114" customFormat="false" ht="14.25" hidden="false" customHeight="true" outlineLevel="0" collapsed="false">
      <c r="A114" s="47" t="n">
        <v>110</v>
      </c>
      <c r="B114" s="47" t="s">
        <v>621</v>
      </c>
      <c r="C114" s="47" t="s">
        <v>622</v>
      </c>
      <c r="D114" s="48" t="n">
        <v>46263</v>
      </c>
      <c r="E114" s="49" t="n">
        <f aca="false">YEAR(D114)</f>
        <v>2026</v>
      </c>
      <c r="F114" s="50" t="str">
        <f aca="false">TEXT(D114,"mmm")</f>
        <v>Aug</v>
      </c>
      <c r="G114" s="47" t="s">
        <v>623</v>
      </c>
      <c r="H114" s="47" t="s">
        <v>624</v>
      </c>
      <c r="I114" s="47"/>
      <c r="J114" s="47" t="s">
        <v>631</v>
      </c>
      <c r="K114" s="55" t="s">
        <v>626</v>
      </c>
      <c r="L114" s="47"/>
      <c r="M114" s="47" t="n">
        <v>6</v>
      </c>
      <c r="N114" s="47" t="s">
        <v>627</v>
      </c>
      <c r="O114" s="51" t="n">
        <v>1250</v>
      </c>
      <c r="P114" s="51" t="n">
        <v>0</v>
      </c>
      <c r="Q114" s="52" t="n">
        <f aca="false">M114*O114-P114</f>
        <v>7500</v>
      </c>
      <c r="R114" s="53" t="n">
        <v>0.05</v>
      </c>
      <c r="S114" s="47" t="s">
        <v>39</v>
      </c>
      <c r="T114" s="52" t="n">
        <f aca="false">IF(S114="IGST",ROUND(Q114*R114,2),0)</f>
        <v>0</v>
      </c>
      <c r="U114" s="52" t="n">
        <f aca="false">IF(S114="CGST+SGST",ROUND(Q114*R114/2,2),0)</f>
        <v>187.5</v>
      </c>
      <c r="V114" s="52" t="n">
        <f aca="false">U114</f>
        <v>187.5</v>
      </c>
      <c r="W114" s="51" t="n">
        <v>0</v>
      </c>
      <c r="X114" s="52" t="n">
        <f aca="false">Q114+T114+U114+V114+W114</f>
        <v>7875</v>
      </c>
      <c r="Y114" s="52" t="n">
        <f aca="false">ROUND(Q114*AT114,0)</f>
        <v>0</v>
      </c>
      <c r="Z114" s="52" t="n">
        <f aca="false">X114-Y114</f>
        <v>7875</v>
      </c>
      <c r="AA114" s="47"/>
      <c r="AB114" s="47"/>
      <c r="AC114" s="47"/>
      <c r="AD114" s="47" t="s">
        <v>117</v>
      </c>
      <c r="AE114" s="47" t="s">
        <v>116</v>
      </c>
      <c r="AF114" s="47" t="s">
        <v>117</v>
      </c>
      <c r="AG114" s="47" t="s">
        <v>628</v>
      </c>
      <c r="AH114" s="48" t="n">
        <v>46232</v>
      </c>
      <c r="AI114" s="47"/>
      <c r="AJ114" s="47" t="s">
        <v>629</v>
      </c>
      <c r="AK114" s="47"/>
      <c r="AL114" s="47"/>
      <c r="AM114" s="47"/>
      <c r="AN114" s="47"/>
      <c r="AO114" s="47"/>
      <c r="AP114" s="47"/>
      <c r="AQ114" s="47"/>
      <c r="AR114" s="47" t="s">
        <v>630</v>
      </c>
      <c r="AS114" s="47" t="s">
        <v>583</v>
      </c>
      <c r="AT114" s="54" t="n">
        <v>0</v>
      </c>
    </row>
    <row r="115" customFormat="false" ht="14.25" hidden="false" customHeight="true" outlineLevel="0" collapsed="false">
      <c r="A115" s="47" t="n">
        <v>111</v>
      </c>
      <c r="B115" s="47" t="s">
        <v>621</v>
      </c>
      <c r="C115" s="47" t="s">
        <v>622</v>
      </c>
      <c r="D115" s="48" t="n">
        <v>46263</v>
      </c>
      <c r="E115" s="49" t="n">
        <f aca="false">YEAR(D115)</f>
        <v>2026</v>
      </c>
      <c r="F115" s="50" t="str">
        <f aca="false">TEXT(D115,"mmm")</f>
        <v>Aug</v>
      </c>
      <c r="G115" s="47" t="s">
        <v>623</v>
      </c>
      <c r="H115" s="47" t="s">
        <v>624</v>
      </c>
      <c r="I115" s="47"/>
      <c r="J115" s="47" t="s">
        <v>632</v>
      </c>
      <c r="K115" s="55" t="s">
        <v>626</v>
      </c>
      <c r="L115" s="47"/>
      <c r="M115" s="47" t="n">
        <v>21.9</v>
      </c>
      <c r="N115" s="47" t="s">
        <v>627</v>
      </c>
      <c r="O115" s="51" t="n">
        <v>562</v>
      </c>
      <c r="P115" s="51" t="n">
        <v>0</v>
      </c>
      <c r="Q115" s="52" t="n">
        <f aca="false">M115*O115-P115</f>
        <v>12307.8</v>
      </c>
      <c r="R115" s="53" t="n">
        <v>0.05</v>
      </c>
      <c r="S115" s="47" t="s">
        <v>39</v>
      </c>
      <c r="T115" s="52" t="n">
        <f aca="false">IF(S115="IGST",ROUND(Q115*R115,2),0)</f>
        <v>0</v>
      </c>
      <c r="U115" s="52" t="n">
        <f aca="false">IF(S115="CGST+SGST",ROUND(Q115*R115/2,2),0)</f>
        <v>307.7</v>
      </c>
      <c r="V115" s="52" t="n">
        <f aca="false">U115</f>
        <v>307.7</v>
      </c>
      <c r="W115" s="51" t="n">
        <v>0</v>
      </c>
      <c r="X115" s="52" t="n">
        <f aca="false">Q115+T115+U115+V115+W115</f>
        <v>12923.2</v>
      </c>
      <c r="Y115" s="52" t="n">
        <f aca="false">ROUND(Q115*AT115,0)</f>
        <v>0</v>
      </c>
      <c r="Z115" s="52" t="n">
        <f aca="false">X115-Y115</f>
        <v>12923.2</v>
      </c>
      <c r="AA115" s="47"/>
      <c r="AB115" s="47"/>
      <c r="AC115" s="47"/>
      <c r="AD115" s="47" t="s">
        <v>117</v>
      </c>
      <c r="AE115" s="47" t="s">
        <v>116</v>
      </c>
      <c r="AF115" s="47" t="s">
        <v>117</v>
      </c>
      <c r="AG115" s="47" t="s">
        <v>628</v>
      </c>
      <c r="AH115" s="48" t="n">
        <v>46232</v>
      </c>
      <c r="AI115" s="47"/>
      <c r="AJ115" s="47" t="s">
        <v>629</v>
      </c>
      <c r="AK115" s="47"/>
      <c r="AL115" s="47"/>
      <c r="AM115" s="47"/>
      <c r="AN115" s="47"/>
      <c r="AO115" s="47"/>
      <c r="AP115" s="47"/>
      <c r="AQ115" s="47"/>
      <c r="AR115" s="47" t="s">
        <v>630</v>
      </c>
      <c r="AS115" s="47" t="s">
        <v>583</v>
      </c>
      <c r="AT115" s="54" t="n">
        <v>0</v>
      </c>
    </row>
    <row r="116" customFormat="false" ht="14.25" hidden="false" customHeight="true" outlineLevel="0" collapsed="false">
      <c r="A116" s="47" t="n">
        <v>112</v>
      </c>
      <c r="B116" s="47" t="s">
        <v>621</v>
      </c>
      <c r="C116" s="47" t="s">
        <v>622</v>
      </c>
      <c r="D116" s="48" t="n">
        <v>46263</v>
      </c>
      <c r="E116" s="49" t="n">
        <f aca="false">YEAR(D116)</f>
        <v>2026</v>
      </c>
      <c r="F116" s="50" t="str">
        <f aca="false">TEXT(D116,"mmm")</f>
        <v>Aug</v>
      </c>
      <c r="G116" s="47" t="s">
        <v>623</v>
      </c>
      <c r="H116" s="47" t="s">
        <v>624</v>
      </c>
      <c r="I116" s="47"/>
      <c r="J116" s="47" t="s">
        <v>633</v>
      </c>
      <c r="K116" s="55" t="s">
        <v>626</v>
      </c>
      <c r="L116" s="47"/>
      <c r="M116" s="47" t="n">
        <v>5.9</v>
      </c>
      <c r="N116" s="47" t="s">
        <v>627</v>
      </c>
      <c r="O116" s="51" t="n">
        <v>1250</v>
      </c>
      <c r="P116" s="51" t="n">
        <v>0</v>
      </c>
      <c r="Q116" s="52" t="n">
        <f aca="false">M116*O116-P116</f>
        <v>7375</v>
      </c>
      <c r="R116" s="53" t="n">
        <v>0.05</v>
      </c>
      <c r="S116" s="47" t="s">
        <v>39</v>
      </c>
      <c r="T116" s="52" t="n">
        <f aca="false">IF(S116="IGST",ROUND(Q116*R116,2),0)</f>
        <v>0</v>
      </c>
      <c r="U116" s="52" t="n">
        <f aca="false">IF(S116="CGST+SGST",ROUND(Q116*R116/2,2),0)</f>
        <v>184.38</v>
      </c>
      <c r="V116" s="52" t="n">
        <f aca="false">U116</f>
        <v>184.38</v>
      </c>
      <c r="W116" s="51" t="n">
        <v>0</v>
      </c>
      <c r="X116" s="52" t="n">
        <f aca="false">Q116+T116+U116+V116+W116</f>
        <v>7743.76</v>
      </c>
      <c r="Y116" s="52" t="n">
        <f aca="false">ROUND(Q116*AT116,0)</f>
        <v>0</v>
      </c>
      <c r="Z116" s="52" t="n">
        <f aca="false">X116-Y116</f>
        <v>7743.76</v>
      </c>
      <c r="AA116" s="47"/>
      <c r="AB116" s="47"/>
      <c r="AC116" s="47"/>
      <c r="AD116" s="47" t="s">
        <v>117</v>
      </c>
      <c r="AE116" s="47" t="s">
        <v>116</v>
      </c>
      <c r="AF116" s="47" t="s">
        <v>117</v>
      </c>
      <c r="AG116" s="47" t="s">
        <v>628</v>
      </c>
      <c r="AH116" s="48" t="n">
        <v>46232</v>
      </c>
      <c r="AI116" s="47"/>
      <c r="AJ116" s="47" t="s">
        <v>629</v>
      </c>
      <c r="AK116" s="47"/>
      <c r="AL116" s="47"/>
      <c r="AM116" s="47"/>
      <c r="AN116" s="47"/>
      <c r="AO116" s="47"/>
      <c r="AP116" s="47"/>
      <c r="AQ116" s="47"/>
      <c r="AR116" s="47" t="s">
        <v>630</v>
      </c>
      <c r="AS116" s="47" t="s">
        <v>583</v>
      </c>
      <c r="AT116" s="54" t="n">
        <v>0</v>
      </c>
    </row>
    <row r="117" customFormat="false" ht="14.25" hidden="false" customHeight="true" outlineLevel="0" collapsed="false">
      <c r="A117" s="47" t="n">
        <v>113</v>
      </c>
      <c r="B117" s="47" t="s">
        <v>621</v>
      </c>
      <c r="C117" s="47" t="s">
        <v>622</v>
      </c>
      <c r="D117" s="48" t="n">
        <v>46263</v>
      </c>
      <c r="E117" s="49" t="n">
        <f aca="false">YEAR(D117)</f>
        <v>2026</v>
      </c>
      <c r="F117" s="50" t="str">
        <f aca="false">TEXT(D117,"mmm")</f>
        <v>Aug</v>
      </c>
      <c r="G117" s="47" t="s">
        <v>623</v>
      </c>
      <c r="H117" s="47" t="s">
        <v>624</v>
      </c>
      <c r="I117" s="47"/>
      <c r="J117" s="47" t="s">
        <v>634</v>
      </c>
      <c r="K117" s="55" t="s">
        <v>635</v>
      </c>
      <c r="L117" s="47"/>
      <c r="M117" s="47" t="n">
        <v>1</v>
      </c>
      <c r="N117" s="47" t="s">
        <v>171</v>
      </c>
      <c r="O117" s="51" t="n">
        <v>650</v>
      </c>
      <c r="P117" s="51" t="n">
        <v>0</v>
      </c>
      <c r="Q117" s="52" t="n">
        <f aca="false">M117*O117-P117</f>
        <v>650</v>
      </c>
      <c r="R117" s="53" t="n">
        <v>0.05</v>
      </c>
      <c r="S117" s="47" t="s">
        <v>39</v>
      </c>
      <c r="T117" s="52" t="n">
        <f aca="false">IF(S117="IGST",ROUND(Q117*R117,2),0)</f>
        <v>0</v>
      </c>
      <c r="U117" s="52" t="n">
        <f aca="false">IF(S117="CGST+SGST",ROUND(Q117*R117/2,2),0)</f>
        <v>16.25</v>
      </c>
      <c r="V117" s="52" t="n">
        <f aca="false">U117</f>
        <v>16.25</v>
      </c>
      <c r="W117" s="51" t="n">
        <v>0.46</v>
      </c>
      <c r="X117" s="52" t="n">
        <f aca="false">Q117+T117+U117+V117+W117</f>
        <v>682.96</v>
      </c>
      <c r="Y117" s="52" t="n">
        <f aca="false">ROUND(Q117*AT117,0)</f>
        <v>0</v>
      </c>
      <c r="Z117" s="52" t="n">
        <f aca="false">X117-Y117</f>
        <v>682.96</v>
      </c>
      <c r="AA117" s="47"/>
      <c r="AB117" s="47"/>
      <c r="AC117" s="47"/>
      <c r="AD117" s="47" t="s">
        <v>117</v>
      </c>
      <c r="AE117" s="47" t="s">
        <v>116</v>
      </c>
      <c r="AF117" s="47" t="s">
        <v>117</v>
      </c>
      <c r="AG117" s="47" t="s">
        <v>628</v>
      </c>
      <c r="AH117" s="48" t="n">
        <v>46232</v>
      </c>
      <c r="AI117" s="47"/>
      <c r="AJ117" s="47" t="s">
        <v>629</v>
      </c>
      <c r="AK117" s="47"/>
      <c r="AL117" s="47"/>
      <c r="AM117" s="47"/>
      <c r="AN117" s="47"/>
      <c r="AO117" s="47"/>
      <c r="AP117" s="47"/>
      <c r="AQ117" s="47"/>
      <c r="AR117" s="47" t="s">
        <v>630</v>
      </c>
      <c r="AS117" s="47" t="s">
        <v>583</v>
      </c>
      <c r="AT117" s="54" t="n">
        <v>0</v>
      </c>
    </row>
    <row r="118" customFormat="false" ht="14.25" hidden="false" customHeight="true" outlineLevel="0" collapsed="false">
      <c r="A118" s="47" t="n">
        <v>114</v>
      </c>
      <c r="B118" s="47" t="s">
        <v>636</v>
      </c>
      <c r="C118" s="47" t="s">
        <v>637</v>
      </c>
      <c r="D118" s="48" t="n">
        <v>46296</v>
      </c>
      <c r="E118" s="49" t="n">
        <f aca="false">YEAR(D118)</f>
        <v>2026</v>
      </c>
      <c r="F118" s="50" t="str">
        <f aca="false">TEXT(D118,"mmm")</f>
        <v>Oct</v>
      </c>
      <c r="G118" s="47" t="s">
        <v>638</v>
      </c>
      <c r="H118" s="47" t="s">
        <v>639</v>
      </c>
      <c r="I118" s="47"/>
      <c r="J118" s="47" t="s">
        <v>640</v>
      </c>
      <c r="K118" s="55" t="s">
        <v>484</v>
      </c>
      <c r="L118" s="47"/>
      <c r="M118" s="47" t="n">
        <v>3145</v>
      </c>
      <c r="N118" s="47" t="s">
        <v>488</v>
      </c>
      <c r="O118" s="51" t="n">
        <v>49</v>
      </c>
      <c r="P118" s="51" t="n">
        <v>0</v>
      </c>
      <c r="Q118" s="52" t="n">
        <f aca="false">M118*O118-P118</f>
        <v>154105</v>
      </c>
      <c r="R118" s="53" t="n">
        <v>0.18</v>
      </c>
      <c r="S118" s="47" t="s">
        <v>39</v>
      </c>
      <c r="T118" s="52" t="n">
        <f aca="false">IF(S118="IGST",ROUND(Q118*R118,2),0)</f>
        <v>0</v>
      </c>
      <c r="U118" s="52" t="n">
        <f aca="false">IF(S118="CGST+SGST",ROUND(Q118*R118/2,2),0)</f>
        <v>13869.45</v>
      </c>
      <c r="V118" s="52" t="n">
        <f aca="false">U118</f>
        <v>13869.45</v>
      </c>
      <c r="W118" s="51" t="n">
        <v>0.1</v>
      </c>
      <c r="X118" s="52" t="n">
        <f aca="false">Q118+T118+U118+V118+W118</f>
        <v>181844</v>
      </c>
      <c r="Y118" s="52" t="n">
        <f aca="false">ROUND(Q118*AT118,0)</f>
        <v>3082</v>
      </c>
      <c r="Z118" s="52" t="n">
        <f aca="false">X118-Y118</f>
        <v>178762</v>
      </c>
      <c r="AA118" s="47"/>
      <c r="AB118" s="47"/>
      <c r="AC118" s="47"/>
      <c r="AD118" s="47" t="s">
        <v>117</v>
      </c>
      <c r="AE118" s="47" t="s">
        <v>116</v>
      </c>
      <c r="AF118" s="47" t="s">
        <v>117</v>
      </c>
      <c r="AG118" s="47"/>
      <c r="AH118" s="48"/>
      <c r="AI118" s="47"/>
      <c r="AJ118" s="47" t="s">
        <v>641</v>
      </c>
      <c r="AK118" s="47" t="s">
        <v>642</v>
      </c>
      <c r="AL118" s="55" t="s">
        <v>643</v>
      </c>
      <c r="AM118" s="55" t="s">
        <v>644</v>
      </c>
      <c r="AN118" s="47"/>
      <c r="AO118" s="47"/>
      <c r="AP118" s="47"/>
      <c r="AQ118" s="47"/>
      <c r="AR118" s="47" t="s">
        <v>645</v>
      </c>
      <c r="AS118" s="47" t="s">
        <v>203</v>
      </c>
      <c r="AT118" s="54" t="n">
        <v>0.02</v>
      </c>
    </row>
    <row r="119" customFormat="false" ht="14.25" hidden="false" customHeight="true" outlineLevel="0" collapsed="false">
      <c r="A119" s="47" t="n">
        <v>115</v>
      </c>
      <c r="B119" s="47" t="s">
        <v>646</v>
      </c>
      <c r="C119" s="47" t="s">
        <v>647</v>
      </c>
      <c r="D119" s="48" t="n">
        <v>46295</v>
      </c>
      <c r="E119" s="49" t="n">
        <f aca="false">YEAR(D119)</f>
        <v>2026</v>
      </c>
      <c r="F119" s="50" t="str">
        <f aca="false">TEXT(D119,"mmm")</f>
        <v>Sep</v>
      </c>
      <c r="G119" s="47" t="s">
        <v>648</v>
      </c>
      <c r="H119" s="47" t="s">
        <v>649</v>
      </c>
      <c r="I119" s="47"/>
      <c r="J119" s="47" t="s">
        <v>650</v>
      </c>
      <c r="K119" s="55" t="s">
        <v>651</v>
      </c>
      <c r="L119" s="47"/>
      <c r="M119" s="47" t="n">
        <v>2680</v>
      </c>
      <c r="N119" s="47" t="s">
        <v>652</v>
      </c>
      <c r="O119" s="51" t="n">
        <v>4.3</v>
      </c>
      <c r="P119" s="51" t="n">
        <v>0</v>
      </c>
      <c r="Q119" s="52" t="n">
        <f aca="false">M119*O119-P119</f>
        <v>11524</v>
      </c>
      <c r="R119" s="53" t="n">
        <v>0.18</v>
      </c>
      <c r="S119" s="47" t="s">
        <v>39</v>
      </c>
      <c r="T119" s="52" t="n">
        <f aca="false">IF(S119="IGST",ROUND(Q119*R119,2),0)</f>
        <v>0</v>
      </c>
      <c r="U119" s="52" t="n">
        <f aca="false">IF(S119="CGST+SGST",ROUND(Q119*R119/2,2),0)</f>
        <v>1037.16</v>
      </c>
      <c r="V119" s="52" t="n">
        <f aca="false">U119</f>
        <v>1037.16</v>
      </c>
      <c r="W119" s="51" t="n">
        <v>-0.32</v>
      </c>
      <c r="X119" s="52" t="n">
        <f aca="false">Q119+T119+U119+V119+W119</f>
        <v>13598</v>
      </c>
      <c r="Y119" s="52" t="n">
        <f aca="false">ROUND(Q119*AT119,0)</f>
        <v>230</v>
      </c>
      <c r="Z119" s="52" t="n">
        <f aca="false">X119-Y119</f>
        <v>13368</v>
      </c>
      <c r="AA119" s="47"/>
      <c r="AB119" s="47"/>
      <c r="AC119" s="47"/>
      <c r="AD119" s="47" t="s">
        <v>117</v>
      </c>
      <c r="AE119" s="47" t="s">
        <v>116</v>
      </c>
      <c r="AF119" s="47" t="s">
        <v>117</v>
      </c>
      <c r="AG119" s="47"/>
      <c r="AH119" s="48"/>
      <c r="AI119" s="47"/>
      <c r="AJ119" s="47" t="s">
        <v>641</v>
      </c>
      <c r="AK119" s="47" t="s">
        <v>653</v>
      </c>
      <c r="AL119" s="55" t="s">
        <v>654</v>
      </c>
      <c r="AM119" s="55" t="s">
        <v>655</v>
      </c>
      <c r="AN119" s="47"/>
      <c r="AO119" s="47"/>
      <c r="AP119" s="47"/>
      <c r="AQ119" s="47"/>
      <c r="AR119" s="47" t="s">
        <v>656</v>
      </c>
      <c r="AS119" s="47" t="s">
        <v>203</v>
      </c>
      <c r="AT119" s="54" t="n">
        <v>0.02</v>
      </c>
    </row>
    <row r="120" customFormat="false" ht="14.25" hidden="false" customHeight="true" outlineLevel="0" collapsed="false">
      <c r="A120" s="47" t="n">
        <v>116</v>
      </c>
      <c r="B120" s="47" t="s">
        <v>657</v>
      </c>
      <c r="C120" s="47" t="s">
        <v>658</v>
      </c>
      <c r="D120" s="48" t="n">
        <v>46295</v>
      </c>
      <c r="E120" s="49" t="n">
        <f aca="false">YEAR(D120)</f>
        <v>2026</v>
      </c>
      <c r="F120" s="50" t="str">
        <f aca="false">TEXT(D120,"mmm")</f>
        <v>Sep</v>
      </c>
      <c r="G120" s="47" t="s">
        <v>648</v>
      </c>
      <c r="H120" s="47" t="s">
        <v>649</v>
      </c>
      <c r="I120" s="47"/>
      <c r="J120" s="47" t="s">
        <v>659</v>
      </c>
      <c r="K120" s="55" t="s">
        <v>660</v>
      </c>
      <c r="L120" s="47"/>
      <c r="M120" s="47" t="n">
        <v>2680</v>
      </c>
      <c r="N120" s="47" t="s">
        <v>652</v>
      </c>
      <c r="O120" s="51" t="n">
        <v>8.72</v>
      </c>
      <c r="P120" s="51" t="n">
        <v>0</v>
      </c>
      <c r="Q120" s="52" t="n">
        <f aca="false">M120*O120-P120</f>
        <v>23369.6</v>
      </c>
      <c r="R120" s="53" t="n">
        <v>0</v>
      </c>
      <c r="S120" s="47" t="s">
        <v>661</v>
      </c>
      <c r="T120" s="52" t="n">
        <f aca="false">IF(S120="IGST",ROUND(Q120*R120,2),0)</f>
        <v>0</v>
      </c>
      <c r="U120" s="52" t="n">
        <f aca="false">IF(S120="CGST+SGST",ROUND(Q120*R120/2,2),0)</f>
        <v>0</v>
      </c>
      <c r="V120" s="52" t="n">
        <f aca="false">U120</f>
        <v>0</v>
      </c>
      <c r="W120" s="51" t="n">
        <v>0</v>
      </c>
      <c r="X120" s="52" t="n">
        <f aca="false">Q120+T120+U120+V120+W120</f>
        <v>23369.6</v>
      </c>
      <c r="Y120" s="52" t="n">
        <f aca="false">ROUND(Q120*AT120,0)</f>
        <v>0</v>
      </c>
      <c r="Z120" s="52" t="n">
        <f aca="false">X120-Y120</f>
        <v>23369.6</v>
      </c>
      <c r="AA120" s="47"/>
      <c r="AB120" s="47"/>
      <c r="AC120" s="47"/>
      <c r="AD120" s="47" t="s">
        <v>117</v>
      </c>
      <c r="AE120" s="47" t="s">
        <v>116</v>
      </c>
      <c r="AF120" s="47" t="s">
        <v>117</v>
      </c>
      <c r="AG120" s="47"/>
      <c r="AH120" s="48"/>
      <c r="AI120" s="47"/>
      <c r="AJ120" s="47" t="s">
        <v>662</v>
      </c>
      <c r="AK120" s="47"/>
      <c r="AL120" s="47"/>
      <c r="AM120" s="47"/>
      <c r="AN120" s="47"/>
      <c r="AO120" s="47"/>
      <c r="AP120" s="47"/>
      <c r="AQ120" s="47"/>
      <c r="AR120" s="47" t="s">
        <v>663</v>
      </c>
      <c r="AS120" s="47" t="s">
        <v>664</v>
      </c>
      <c r="AT120" s="54" t="n">
        <v>0</v>
      </c>
    </row>
    <row r="121" customFormat="false" ht="14.25" hidden="false" customHeight="true" outlineLevel="0" collapsed="false">
      <c r="A121" s="47" t="n">
        <v>117</v>
      </c>
      <c r="B121" s="47" t="s">
        <v>657</v>
      </c>
      <c r="C121" s="47" t="s">
        <v>658</v>
      </c>
      <c r="D121" s="48" t="n">
        <v>46295</v>
      </c>
      <c r="E121" s="49" t="n">
        <f aca="false">YEAR(D121)</f>
        <v>2026</v>
      </c>
      <c r="F121" s="50" t="str">
        <f aca="false">TEXT(D121,"mmm")</f>
        <v>Sep</v>
      </c>
      <c r="G121" s="47" t="s">
        <v>648</v>
      </c>
      <c r="H121" s="47" t="s">
        <v>649</v>
      </c>
      <c r="I121" s="47"/>
      <c r="J121" s="47" t="s">
        <v>665</v>
      </c>
      <c r="K121" s="55" t="s">
        <v>666</v>
      </c>
      <c r="L121" s="47"/>
      <c r="M121" s="47" t="n">
        <v>1</v>
      </c>
      <c r="N121" s="47" t="s">
        <v>171</v>
      </c>
      <c r="O121" s="51" t="n">
        <v>50</v>
      </c>
      <c r="P121" s="51" t="n">
        <v>0</v>
      </c>
      <c r="Q121" s="52" t="n">
        <f aca="false">M121*O121-P121</f>
        <v>50</v>
      </c>
      <c r="R121" s="53" t="n">
        <v>0</v>
      </c>
      <c r="S121" s="47" t="s">
        <v>661</v>
      </c>
      <c r="T121" s="52" t="n">
        <f aca="false">IF(S121="IGST",ROUND(Q121*R121,2),0)</f>
        <v>0</v>
      </c>
      <c r="U121" s="52" t="n">
        <f aca="false">IF(S121="CGST+SGST",ROUND(Q121*R121/2,2),0)</f>
        <v>0</v>
      </c>
      <c r="V121" s="52" t="n">
        <f aca="false">U121</f>
        <v>0</v>
      </c>
      <c r="W121" s="51" t="n">
        <v>0.4</v>
      </c>
      <c r="X121" s="52" t="n">
        <f aca="false">Q121+T121+U121+V121+W121</f>
        <v>50.4</v>
      </c>
      <c r="Y121" s="52" t="n">
        <f aca="false">ROUND(Q121*AT121,0)</f>
        <v>0</v>
      </c>
      <c r="Z121" s="52" t="n">
        <f aca="false">X121-Y121</f>
        <v>50.4</v>
      </c>
      <c r="AA121" s="47"/>
      <c r="AB121" s="47"/>
      <c r="AC121" s="47"/>
      <c r="AD121" s="47" t="s">
        <v>117</v>
      </c>
      <c r="AE121" s="47" t="s">
        <v>116</v>
      </c>
      <c r="AF121" s="47" t="s">
        <v>117</v>
      </c>
      <c r="AG121" s="47"/>
      <c r="AH121" s="48"/>
      <c r="AI121" s="47"/>
      <c r="AJ121" s="47" t="s">
        <v>662</v>
      </c>
      <c r="AK121" s="47"/>
      <c r="AL121" s="47"/>
      <c r="AM121" s="47"/>
      <c r="AN121" s="47"/>
      <c r="AO121" s="47"/>
      <c r="AP121" s="47"/>
      <c r="AQ121" s="47"/>
      <c r="AR121" s="47" t="s">
        <v>663</v>
      </c>
      <c r="AS121" s="47" t="s">
        <v>664</v>
      </c>
      <c r="AT121" s="54" t="n">
        <v>0</v>
      </c>
    </row>
    <row r="122" customFormat="false" ht="14.25" hidden="false" customHeight="true" outlineLevel="0" collapsed="false">
      <c r="A122" s="47" t="n">
        <v>128</v>
      </c>
      <c r="B122" s="47" t="inlineStr">
        <is>
          <t>IPinfo Inc\3MNDSIX0-0003 04.10.26.pdf</t>
        </is>
      </c>
      <c r="C122" s="47" t="inlineStr">
        <is>
          <t>3MNDSIX0/0003</t>
        </is>
      </c>
      <c r="D122" s="48" t="n">
        <v>46299</v>
      </c>
      <c r="E122" s="49" t="n">
        <f aca="false">YEAR(D122)</f>
      </c>
      <c r="F122" s="50" t="str">
        <f aca="false">TEXT(D122,"mmm")</f>
      </c>
      <c r="G122" s="47" t="inlineStr">
        <is>
          <t>IPinfo Inc</t>
        </is>
      </c>
      <c r="H122" s="47"/>
      <c r="I122" s="47"/>
      <c r="J122" s="47" t="inlineStr">
        <is>
          <t>Expense / Services - IPinfo Inc</t>
        </is>
      </c>
      <c r="K122" s="55"/>
      <c r="L122" s="47"/>
      <c r="M122" s="47" t="n">
        <v>1.0</v>
      </c>
      <c r="N122" s="47" t="inlineStr">
        <is>
          <t>NOS</t>
        </is>
      </c>
      <c r="O122" s="51" t="n">
        <v>0.0</v>
      </c>
      <c r="P122" s="51" t="n">
        <v>0.0</v>
      </c>
      <c r="Q122" s="52" t="n">
        <f aca="false">M122*O122-P122</f>
      </c>
      <c r="R122" s="53" t="n">
        <v>0.0</v>
      </c>
      <c r="S122" s="47" t="inlineStr">
        <is>
          <t>No GST (unregistered)</t>
        </is>
      </c>
      <c r="T122" s="52" t="n">
        <f aca="false">IF(S122="IGST",ROUND(Q122*R122,2),0)</f>
      </c>
      <c r="U122" s="52" t="n">
        <f aca="false">IF(S122="CGST+SGST",ROUND(Q122*R122/2,2),0)</f>
      </c>
      <c r="V122" s="52" t="n">
        <f aca="false">U122</f>
      </c>
      <c r="W122" s="51" t="n">
        <v>0.0</v>
      </c>
      <c r="X122" s="52" t="n">
        <f aca="false">Q122+T122+U122+V122+W122</f>
      </c>
      <c r="Y122" s="52" t="n">
        <f aca="false">ROUND(Q122*AT122,0)</f>
      </c>
      <c r="Z122" s="52" t="n">
        <f aca="false">X122-Y122</f>
      </c>
      <c r="AA122" s="47"/>
      <c r="AB122" s="47"/>
      <c r="AC122" s="47"/>
      <c r="AD122" s="47"/>
      <c r="AE122" s="47" t="inlineStr">
        <is>
          <t>06AAFCN6567R1ZL</t>
        </is>
      </c>
      <c r="AF122" s="47" t="inlineStr">
        <is>
          <t>Haryana (06)</t>
        </is>
      </c>
      <c r="AG122" s="47"/>
      <c r="AH122" s="48"/>
      <c r="AI122" s="47"/>
      <c r="AJ122" s="47"/>
      <c r="AK122" s="47"/>
      <c r="AL122" s="47"/>
      <c r="AM122" s="47"/>
      <c r="AN122" s="47"/>
      <c r="AO122" s="47"/>
      <c r="AP122" s="47"/>
      <c r="AQ122" s="47"/>
      <c r="AR122" s="47" t="inlineStr">
        <is>
          <t>No RCM – forward charge; CGST + SGST charged by supplier. ITC eligible (check GSTR-2B).</t>
        </is>
      </c>
      <c r="AS122" s="47" t="inlineStr">
        <is>
          <t>Sec 393(1) – purchase of goods (old 194Q), code 1031. Apply only if FY purchases from this supplier &gt; ₹50 L (on excess).</t>
        </is>
      </c>
      <c r="AT122" s="54" t="n">
        <v>0.001</v>
      </c>
    </row>
    <row r="123" customFormat="false" ht="14.25" hidden="false" customHeight="true" outlineLevel="0" collapsed="false">
      <c r="A123" s="47" t="n">
        <v>129</v>
      </c>
      <c r="B123" s="47" t="inlineStr">
        <is>
          <t>Mahindra &amp; Mahindra Financial Services Limited\231742 01.10.26.pdf</t>
        </is>
      </c>
      <c r="C123" s="47" t="inlineStr">
        <is>
          <t>231742</t>
        </is>
      </c>
      <c r="D123" s="48" t="n">
        <v>46297</v>
      </c>
      <c r="E123" s="49" t="n">
        <f aca="false">YEAR(D123)</f>
      </c>
      <c r="F123" s="50" t="str">
        <f aca="false">TEXT(D123,"mmm")</f>
      </c>
      <c r="G123" s="47" t="inlineStr">
        <is>
          <t>Mahindra &amp; Mahindra Financial Services Limited</t>
        </is>
      </c>
      <c r="H123" s="47" t="inlineStr">
        <is>
          <t>27AAACM2931R3Z1</t>
        </is>
      </c>
      <c r="I123" s="47"/>
      <c r="J123" s="47" t="inlineStr">
        <is>
          <t>Expense / Services - Mahindra &amp; Mahindra Financial Services Limited</t>
        </is>
      </c>
      <c r="K123" s="55"/>
      <c r="L123" s="47"/>
      <c r="M123" s="47" t="n">
        <v>1.0</v>
      </c>
      <c r="N123" s="47" t="inlineStr">
        <is>
          <t>NOS</t>
        </is>
      </c>
      <c r="O123" s="51" t="n">
        <v>20506.19</v>
      </c>
      <c r="P123" s="51" t="n">
        <v>0.0</v>
      </c>
      <c r="Q123" s="52" t="n">
        <f aca="false">M123*O123-P123</f>
      </c>
      <c r="R123" s="53" t="n">
        <v>0.18</v>
      </c>
      <c r="S123" s="47" t="inlineStr">
        <is>
          <t>IGST</t>
        </is>
      </c>
      <c r="T123" s="52" t="n">
        <f aca="false">IF(S123="IGST",ROUND(Q123*R123,2),0)</f>
      </c>
      <c r="U123" s="52" t="n">
        <f aca="false">IF(S123="CGST+SGST",ROUND(Q123*R123/2,2),0)</f>
      </c>
      <c r="V123" s="52" t="n">
        <f aca="false">U123</f>
      </c>
      <c r="W123" s="51" t="n">
        <v>0.0</v>
      </c>
      <c r="X123" s="52" t="n">
        <f aca="false">Q123+T123+U123+V123+W123</f>
      </c>
      <c r="Y123" s="52" t="n">
        <f aca="false">ROUND(Q123*AT123,0)</f>
      </c>
      <c r="Z123" s="52" t="n">
        <f aca="false">X123-Y123</f>
      </c>
      <c r="AA123" s="47"/>
      <c r="AB123" s="47"/>
      <c r="AC123" s="47"/>
      <c r="AD123" s="47" t="inlineStr">
        <is>
          <t>Maharashtra (27)</t>
        </is>
      </c>
      <c r="AE123" s="47" t="inlineStr">
        <is>
          <t>07AAFCN6567R1ZJ</t>
        </is>
      </c>
      <c r="AF123" s="47" t="inlineStr">
        <is>
          <t>Delhi (07)</t>
        </is>
      </c>
      <c r="AG123" s="47"/>
      <c r="AH123" s="48"/>
      <c r="AI123" s="47"/>
      <c r="AJ123" s="47"/>
      <c r="AK123" s="47"/>
      <c r="AL123" s="47"/>
      <c r="AM123" s="47"/>
      <c r="AN123" s="47"/>
      <c r="AO123" s="47"/>
      <c r="AP123" s="47"/>
      <c r="AQ123" s="47"/>
      <c r="AR123" s="47" t="inlineStr">
        <is>
          <t>No RCM – forward charge; goods/services, IGST charged by supplier. ITC eligible (check GSTR-2B).</t>
        </is>
      </c>
      <c r="AS123" s="47" t="inlineStr">
        <is>
          <t>Sec 393(1) – contract/service (old 194C), 2% (company). Confirm with CA.</t>
        </is>
      </c>
      <c r="AT123" s="54" t="n">
        <v>0.02</v>
      </c>
    </row>
    <row r="124" customFormat="false" ht="14.25" hidden="false" customHeight="true" outlineLevel="0" collapsed="false">
      <c r="A124" s="47" t="n">
        <v>130</v>
      </c>
      <c r="B124" s="47" t="inlineStr">
        <is>
          <t>Mahindra &amp; Mahindra Financial Services Limited\IND-450459 01.10.26.pdf</t>
        </is>
      </c>
      <c r="C124" s="47" t="inlineStr">
        <is>
          <t>IND/450459</t>
        </is>
      </c>
      <c r="D124" s="48" t="n">
        <v>46297</v>
      </c>
      <c r="E124" s="49" t="n">
        <f aca="false">YEAR(D124)</f>
      </c>
      <c r="F124" s="50" t="str">
        <f aca="false">TEXT(D124,"mmm")</f>
      </c>
      <c r="G124" s="47" t="inlineStr">
        <is>
          <t>Mahindra &amp; Mahindra Financial Services Limited</t>
        </is>
      </c>
      <c r="H124" s="47" t="inlineStr">
        <is>
          <t>27AAACM2931R3Z1</t>
        </is>
      </c>
      <c r="I124" s="47"/>
      <c r="J124" s="47" t="inlineStr">
        <is>
          <t>Expense / Services - Mahindra &amp; Mahindra Financial Services Limited</t>
        </is>
      </c>
      <c r="K124" s="55"/>
      <c r="L124" s="47"/>
      <c r="M124" s="47" t="n">
        <v>1.0</v>
      </c>
      <c r="N124" s="47" t="inlineStr">
        <is>
          <t>NOS</t>
        </is>
      </c>
      <c r="O124" s="51" t="n">
        <v>121349.22</v>
      </c>
      <c r="P124" s="51" t="n">
        <v>0.0</v>
      </c>
      <c r="Q124" s="52" t="n">
        <f aca="false">M124*O124-P124</f>
      </c>
      <c r="R124" s="53" t="n">
        <v>0.18</v>
      </c>
      <c r="S124" s="47" t="inlineStr">
        <is>
          <t>IGST</t>
        </is>
      </c>
      <c r="T124" s="52" t="n">
        <f aca="false">IF(S124="IGST",ROUND(Q124*R124,2),0)</f>
      </c>
      <c r="U124" s="52" t="n">
        <f aca="false">IF(S124="CGST+SGST",ROUND(Q124*R124/2,2),0)</f>
      </c>
      <c r="V124" s="52" t="n">
        <f aca="false">U124</f>
      </c>
      <c r="W124" s="51" t="n">
        <v>0.0</v>
      </c>
      <c r="X124" s="52" t="n">
        <f aca="false">Q124+T124+U124+V124+W124</f>
      </c>
      <c r="Y124" s="52" t="n">
        <f aca="false">ROUND(Q124*AT124,0)</f>
      </c>
      <c r="Z124" s="52" t="n">
        <f aca="false">X124-Y124</f>
      </c>
      <c r="AA124" s="47"/>
      <c r="AB124" s="47"/>
      <c r="AC124" s="47"/>
      <c r="AD124" s="47" t="inlineStr">
        <is>
          <t>Maharashtra (27)</t>
        </is>
      </c>
      <c r="AE124" s="47" t="inlineStr">
        <is>
          <t>07AAFCN6567R1ZJ</t>
        </is>
      </c>
      <c r="AF124" s="47" t="inlineStr">
        <is>
          <t>Delhi</t>
        </is>
      </c>
      <c r="AG124" s="47"/>
      <c r="AH124" s="48"/>
      <c r="AI124" s="47"/>
      <c r="AJ124" s="47"/>
      <c r="AK124" s="47"/>
      <c r="AL124" s="47"/>
      <c r="AM124" s="47"/>
      <c r="AN124" s="47"/>
      <c r="AO124" s="47"/>
      <c r="AP124" s="47"/>
      <c r="AQ124" s="47"/>
      <c r="AR124" s="47" t="inlineStr">
        <is>
          <t>No RCM – forward charge; goods/services, IGST charged by supplier. ITC eligible (check GSTR-2B).</t>
        </is>
      </c>
      <c r="AS124" s="47" t="inlineStr">
        <is>
          <t>Sec 393(1) – contract/service (old 194C), 2% (company). Confirm with CA.</t>
        </is>
      </c>
      <c r="AT124" s="54" t="n">
        <v>0.02</v>
      </c>
    </row>
    <row r="125" customFormat="false" ht="14.25" hidden="false" customHeight="true" outlineLevel="0" collapsed="false">
      <c r="A125" s="47" t="n">
        <v>118</v>
      </c>
      <c r="B125" s="47" t="inlineStr">
        <is>
          <t>XTO10X Technologies Private Limited\2026-27-224 01.10.26.pdf</t>
        </is>
      </c>
      <c r="C125" s="47" t="inlineStr">
        <is>
          <t>2026-27/224</t>
        </is>
      </c>
      <c r="D125" s="48" t="n">
        <v>46296</v>
      </c>
      <c r="E125" s="49" t="n">
        <f aca="false">YEAR(D122)</f>
      </c>
      <c r="F125" s="50" t="str">
        <f aca="false">TEXT(D122,"mmm")</f>
      </c>
      <c r="G125" s="47" t="inlineStr">
        <is>
          <t>XTO10X Technologies Private Limited</t>
        </is>
      </c>
      <c r="H125" s="47" t="inlineStr">
        <is>
          <t>29AAACX2697R1Z9</t>
        </is>
      </c>
      <c r="I125" s="47"/>
      <c r="J125" s="47" t="inlineStr">
        <is>
          <t>Expense / Services - XTO10X Technologies Private Limited</t>
        </is>
      </c>
      <c r="K125" s="55"/>
      <c r="L125" s="47"/>
      <c r="M125" s="47" t="n">
        <v>1.0</v>
      </c>
      <c r="N125" s="47" t="inlineStr">
        <is>
          <t>NOS</t>
        </is>
      </c>
      <c r="O125" s="51" t="n">
        <v>847457.63</v>
      </c>
      <c r="P125" s="51" t="n">
        <v>0.0</v>
      </c>
      <c r="Q125" s="52" t="n">
        <f aca="false">M122*O122-P122</f>
      </c>
      <c r="R125" s="53" t="n">
        <v>0.18</v>
      </c>
      <c r="S125" s="47" t="inlineStr">
        <is>
          <t>IGST</t>
        </is>
      </c>
      <c r="T125" s="52" t="n">
        <f aca="false">IF(S122="IGST",ROUND(Q122*R122,2),0)</f>
      </c>
      <c r="U125" s="52" t="n">
        <f aca="false">IF(S122="CGST+SGST",ROUND(Q122*R122/2,2),0)</f>
      </c>
      <c r="V125" s="52" t="n">
        <f aca="false">U122</f>
      </c>
      <c r="W125" s="51" t="n">
        <v>0.0</v>
      </c>
      <c r="X125" s="52" t="n">
        <f aca="false">Q122+T122+U122+V122+W122</f>
      </c>
      <c r="Y125" s="52" t="n">
        <f aca="false">ROUND(Q122*AT122,0)</f>
      </c>
      <c r="Z125" s="52" t="n">
        <f aca="false">X122-Y122</f>
      </c>
      <c r="AA125" s="47"/>
      <c r="AB125" s="47"/>
      <c r="AC125" s="47"/>
      <c r="AD125" s="47" t="inlineStr">
        <is>
          <t>Karnataka (29)</t>
        </is>
      </c>
      <c r="AE125" s="47" t="inlineStr">
        <is>
          <t>07AAFCN6567R2ZI</t>
        </is>
      </c>
      <c r="AF125" s="47" t="inlineStr">
        <is>
          <t>Delhi (07)</t>
        </is>
      </c>
      <c r="AG125" s="47"/>
      <c r="AH125" s="48"/>
      <c r="AI125" s="47"/>
      <c r="AJ125" s="47"/>
      <c r="AK125" s="47"/>
      <c r="AL125" s="47"/>
      <c r="AM125" s="47"/>
      <c r="AN125" s="47"/>
      <c r="AO125" s="47"/>
      <c r="AP125" s="47"/>
      <c r="AQ125" s="47"/>
      <c r="AR125" s="47" t="inlineStr">
        <is>
          <t>No RCM – forward charge; goods/services, IGST charged by supplier. ITC eligible (check GSTR-2B).</t>
        </is>
      </c>
      <c r="AS125" s="47" t="inlineStr">
        <is>
          <t>Sec 393(1) – contract/service (old 194C), 2% (company). Confirm with CA.</t>
        </is>
      </c>
      <c r="AT125" s="54" t="n">
        <v>0.02</v>
      </c>
    </row>
    <row r="126" customFormat="false" ht="14.25" hidden="false" customHeight="true" outlineLevel="0" collapsed="false">
      <c r="A126" s="47" t="n">
        <v>119</v>
      </c>
      <c r="B126" s="47" t="inlineStr">
        <is>
          <t>Mahindra &amp; Mahindra Financial Services Limited\NICOBAR DESIGN PRIVATE LIMITED_Oct 26_Reimbursement_231742 02.10.26.pdf</t>
        </is>
      </c>
      <c r="C126" s="47" t="inlineStr">
        <is>
          <t>NICOBAR DESIGN PRIVATE LIMITED_Oct 26_Reimbursement_231742</t>
        </is>
      </c>
      <c r="D126" s="48" t="n">
        <v>46297</v>
      </c>
      <c r="E126" s="49" t="n">
        <f aca="false">YEAR(D123)</f>
      </c>
      <c r="F126" s="50" t="str">
        <f aca="false">TEXT(D123,"mmm")</f>
      </c>
      <c r="G126" s="47" t="inlineStr">
        <is>
          <t>Mahindra &amp; Mahindra Financial Services Limited</t>
        </is>
      </c>
      <c r="H126" s="47" t="inlineStr">
        <is>
          <t>27AAACM2931R3Z1</t>
        </is>
      </c>
      <c r="I126" s="47"/>
      <c r="J126" s="47" t="inlineStr">
        <is>
          <t>Expense / Services - Mahindra &amp; Mahindra Financial Services Limited</t>
        </is>
      </c>
      <c r="K126" s="55"/>
      <c r="L126" s="47"/>
      <c r="M126" s="47" t="n">
        <v>1.0</v>
      </c>
      <c r="N126" s="47" t="inlineStr">
        <is>
          <t>NOS</t>
        </is>
      </c>
      <c r="O126" s="51" t="n">
        <v>20506.19</v>
      </c>
      <c r="P126" s="51" t="n">
        <v>0.0</v>
      </c>
      <c r="Q126" s="52" t="n">
        <f aca="false">M123*O123-P123</f>
      </c>
      <c r="R126" s="53" t="n">
        <v>0.18</v>
      </c>
      <c r="S126" s="47" t="inlineStr">
        <is>
          <t>IGST</t>
        </is>
      </c>
      <c r="T126" s="52" t="n">
        <f aca="false">IF(S123="IGST",ROUND(Q123*R123,2),0)</f>
      </c>
      <c r="U126" s="52" t="n">
        <f aca="false">IF(S123="CGST+SGST",ROUND(Q123*R123/2,2),0)</f>
      </c>
      <c r="V126" s="52" t="n">
        <f aca="false">U123</f>
      </c>
      <c r="W126" s="51" t="n">
        <v>0.0</v>
      </c>
      <c r="X126" s="52" t="n">
        <f aca="false">Q123+T123+U123+V123+W123</f>
      </c>
      <c r="Y126" s="52" t="n">
        <f aca="false">ROUND(Q123*AT123,0)</f>
      </c>
      <c r="Z126" s="52" t="n">
        <f aca="false">X123-Y123</f>
      </c>
      <c r="AA126" s="47"/>
      <c r="AB126" s="47"/>
      <c r="AC126" s="47"/>
      <c r="AD126" s="47" t="inlineStr">
        <is>
          <t>Maharashtra (27)</t>
        </is>
      </c>
      <c r="AE126" s="47" t="inlineStr">
        <is>
          <t>07AAFCN6567R1ZJ</t>
        </is>
      </c>
      <c r="AF126" s="47" t="inlineStr">
        <is>
          <t>Delhi (07)</t>
        </is>
      </c>
      <c r="AG126" s="47"/>
      <c r="AH126" s="48"/>
      <c r="AI126" s="47"/>
      <c r="AJ126" s="47"/>
      <c r="AK126" s="47"/>
      <c r="AL126" s="47"/>
      <c r="AM126" s="47"/>
      <c r="AN126" s="47"/>
      <c r="AO126" s="47"/>
      <c r="AP126" s="47"/>
      <c r="AQ126" s="47"/>
      <c r="AR126" s="47" t="inlineStr">
        <is>
          <t>No RCM – forward charge; goods/services, IGST charged by supplier. ITC eligible (check GSTR-2B).</t>
        </is>
      </c>
      <c r="AS126" s="47" t="inlineStr">
        <is>
          <t>Sec 393(1) – contract/service (old 194C), 2% (company). Confirm with CA.</t>
        </is>
      </c>
      <c r="AT126" s="54" t="n">
        <v>0.02</v>
      </c>
    </row>
    <row r="127" customFormat="false" ht="14.25" hidden="false" customHeight="true" outlineLevel="0" collapsed="false">
      <c r="A127" s="47" t="n">
        <v>120</v>
      </c>
      <c r="B127" s="47" t="inlineStr">
        <is>
          <t>Mahindra &amp; Mahindra Financial Services Limited\NICOBAR DESIGN PRIVATE LIMITED_Oct 26_FMS Rental_Lease Rental_IND-450459 02.10.26.pdf</t>
        </is>
      </c>
      <c r="C127" s="47" t="inlineStr">
        <is>
          <t>NICOBAR DESIGN PRIVATE LIMITED_Oct 26_FMS Rental_Lease Rental_IND/450459</t>
        </is>
      </c>
      <c r="D127" s="48" t="n">
        <v>46297</v>
      </c>
      <c r="E127" s="49" t="n">
        <f aca="false">YEAR(D124)</f>
      </c>
      <c r="F127" s="50" t="str">
        <f aca="false">TEXT(D124,"mmm")</f>
      </c>
      <c r="G127" s="47" t="inlineStr">
        <is>
          <t>Mahindra &amp; Mahindra Financial Services Limited</t>
        </is>
      </c>
      <c r="H127" s="47" t="inlineStr">
        <is>
          <t>27AAACM2931R3Z1</t>
        </is>
      </c>
      <c r="I127" s="47"/>
      <c r="J127" s="47" t="inlineStr">
        <is>
          <t>Expense / Services - Mahindra &amp; Mahindra Financial Services Limited</t>
        </is>
      </c>
      <c r="K127" s="55"/>
      <c r="L127" s="47"/>
      <c r="M127" s="47" t="n">
        <v>1.0</v>
      </c>
      <c r="N127" s="47" t="inlineStr">
        <is>
          <t>NOS</t>
        </is>
      </c>
      <c r="O127" s="51" t="n">
        <v>121349.22</v>
      </c>
      <c r="P127" s="51" t="n">
        <v>0.0</v>
      </c>
      <c r="Q127" s="52" t="n">
        <f aca="false">M124*O124-P124</f>
      </c>
      <c r="R127" s="53" t="n">
        <v>0.18</v>
      </c>
      <c r="S127" s="47" t="inlineStr">
        <is>
          <t>IGST</t>
        </is>
      </c>
      <c r="T127" s="52" t="n">
        <f aca="false">IF(S124="IGST",ROUND(Q124*R124,2),0)</f>
      </c>
      <c r="U127" s="52" t="n">
        <f aca="false">IF(S124="CGST+SGST",ROUND(Q124*R124/2,2),0)</f>
      </c>
      <c r="V127" s="52" t="n">
        <f aca="false">U124</f>
      </c>
      <c r="W127" s="51" t="n">
        <v>0.0</v>
      </c>
      <c r="X127" s="52" t="n">
        <f aca="false">Q124+T124+U124+V124+W124</f>
      </c>
      <c r="Y127" s="52" t="n">
        <f aca="false">ROUND(Q124*AT124,0)</f>
      </c>
      <c r="Z127" s="52" t="n">
        <f aca="false">X124-Y124</f>
      </c>
      <c r="AA127" s="47"/>
      <c r="AB127" s="47"/>
      <c r="AC127" s="47"/>
      <c r="AD127" s="47" t="inlineStr">
        <is>
          <t>Maharashtra (27)</t>
        </is>
      </c>
      <c r="AE127" s="47" t="inlineStr">
        <is>
          <t>07AAFCN6567R1ZJ</t>
        </is>
      </c>
      <c r="AF127" s="47" t="inlineStr">
        <is>
          <t>Delhi</t>
        </is>
      </c>
      <c r="AG127" s="47"/>
      <c r="AH127" s="48"/>
      <c r="AI127" s="47"/>
      <c r="AJ127" s="47"/>
      <c r="AK127" s="47"/>
      <c r="AL127" s="47"/>
      <c r="AM127" s="47"/>
      <c r="AN127" s="47"/>
      <c r="AO127" s="47"/>
      <c r="AP127" s="47"/>
      <c r="AQ127" s="47"/>
      <c r="AR127" s="47" t="inlineStr">
        <is>
          <t>No RCM – forward charge; goods/services, IGST charged by supplier. ITC eligible (check GSTR-2B).</t>
        </is>
      </c>
      <c r="AS127" s="47" t="inlineStr">
        <is>
          <t>Sec 393(1) – contract/service (old 194C), 2% (company). Confirm with CA.</t>
        </is>
      </c>
      <c r="AT127" s="54" t="n">
        <v>0.02</v>
      </c>
    </row>
    <row r="128" customFormat="false" ht="14.25" hidden="false" customHeight="true" outlineLevel="0" collapsed="false">
      <c r="A128" s="47" t="n">
        <v>121</v>
      </c>
      <c r="B128" s="47" t="inlineStr">
        <is>
          <t>General Expenses\WhatsApp Image 2026-10-01 at 2.50.38 PM 04.10.26.pdf</t>
        </is>
      </c>
      <c r="C128" s="47" t="inlineStr">
        <is>
          <t>WhatsApp Image 2026/10/01 at 2.50.38 PM</t>
        </is>
      </c>
      <c r="D128" s="48" t="n">
        <v>46299</v>
      </c>
      <c r="E128" s="49" t="n">
        <f aca="false">YEAR(D125)</f>
      </c>
      <c r="F128" s="50" t="str">
        <f aca="false">TEXT(D125,"mmm")</f>
      </c>
      <c r="G128" s="47" t="inlineStr">
        <is>
          <t>General Expenses</t>
        </is>
      </c>
      <c r="H128" s="47"/>
      <c r="I128" s="47"/>
      <c r="J128" s="47" t="inlineStr">
        <is>
          <t>Expense / Services - General Expenses</t>
        </is>
      </c>
      <c r="K128" s="55"/>
      <c r="L128" s="47"/>
      <c r="M128" s="47" t="n">
        <v>1.0</v>
      </c>
      <c r="N128" s="47" t="inlineStr">
        <is>
          <t>NOS</t>
        </is>
      </c>
      <c r="O128" s="51" t="n">
        <v>0.0</v>
      </c>
      <c r="P128" s="51" t="n">
        <v>0.0</v>
      </c>
      <c r="Q128" s="52" t="n">
        <f aca="false">M125*O125-P125</f>
      </c>
      <c r="R128" s="53" t="n">
        <v>0.0</v>
      </c>
      <c r="S128" s="47" t="inlineStr">
        <is>
          <t>No GST (unregistered)</t>
        </is>
      </c>
      <c r="T128" s="52" t="n">
        <f aca="false">IF(S125="IGST",ROUND(Q125*R125,2),0)</f>
      </c>
      <c r="U128" s="52" t="n">
        <f aca="false">IF(S125="CGST+SGST",ROUND(Q125*R125/2,2),0)</f>
      </c>
      <c r="V128" s="52" t="n">
        <f aca="false">U125</f>
      </c>
      <c r="W128" s="51" t="n">
        <v>0.0</v>
      </c>
      <c r="X128" s="52" t="n">
        <f aca="false">Q125+T125+U125+V125+W125</f>
      </c>
      <c r="Y128" s="52" t="n">
        <f aca="false">ROUND(Q125*AT125,0)</f>
      </c>
      <c r="Z128" s="52" t="n">
        <f aca="false">X125-Y125</f>
      </c>
      <c r="AA128" s="47"/>
      <c r="AB128" s="47"/>
      <c r="AC128" s="47"/>
      <c r="AD128" s="47"/>
      <c r="AE128" s="47" t="inlineStr">
        <is>
          <t>06AAFCN6567R1ZL</t>
        </is>
      </c>
      <c r="AF128" s="47" t="inlineStr">
        <is>
          <t>Haryana (06)</t>
        </is>
      </c>
      <c r="AG128" s="47"/>
      <c r="AH128" s="48"/>
      <c r="AI128" s="47"/>
      <c r="AJ128" s="47"/>
      <c r="AK128" s="47"/>
      <c r="AL128" s="47"/>
      <c r="AM128" s="47"/>
      <c r="AN128" s="47"/>
      <c r="AO128" s="47"/>
      <c r="AP128" s="47"/>
      <c r="AQ128" s="47"/>
      <c r="AR128" s="47" t="inlineStr">
        <is>
          <t>No RCM – forward charge; CGST + SGST charged by supplier. ITC eligible (check GSTR-2B).</t>
        </is>
      </c>
      <c r="AS128" s="47" t="inlineStr">
        <is>
          <t>Sec 393(1) – purchase of goods (old 194Q), code 1031. Apply only if FY purchases from this supplier &gt; ₹50 L (on excess).</t>
        </is>
      </c>
      <c r="AT128" s="54" t="n">
        <v>0.001</v>
      </c>
    </row>
    <row r="129" customFormat="false" ht="14.25" hidden="false" customHeight="true" outlineLevel="0" collapsed="false">
      <c r="A129" s="47" t="n">
        <v>122</v>
      </c>
      <c r="B129" s="47" t="inlineStr">
        <is>
          <t>Curefoods India Limited\BIN-2026- 02.10.26.pdf</t>
        </is>
      </c>
      <c r="C129" s="47" t="inlineStr">
        <is>
          <t>BIN/2026-</t>
        </is>
      </c>
      <c r="D129" s="48" t="n">
        <v>46297</v>
      </c>
      <c r="E129" s="49" t="n">
        <f aca="false">YEAR(D126)</f>
      </c>
      <c r="F129" s="50" t="str">
        <f aca="false">TEXT(D126,"mmm")</f>
      </c>
      <c r="G129" s="47" t="inlineStr">
        <is>
          <t>Curefoods India Limited</t>
        </is>
      </c>
      <c r="H129" s="47" t="inlineStr">
        <is>
          <t>29AAJCC0315J1ZQ</t>
        </is>
      </c>
      <c r="I129" s="47"/>
      <c r="J129" s="47" t="inlineStr">
        <is>
          <t>Expense / Services - Curefoods India Limited</t>
        </is>
      </c>
      <c r="K129" s="55"/>
      <c r="L129" s="47"/>
      <c r="M129" s="47" t="n">
        <v>1.0</v>
      </c>
      <c r="N129" s="47" t="inlineStr">
        <is>
          <t>NOS</t>
        </is>
      </c>
      <c r="O129" s="51" t="n">
        <v>17137.71</v>
      </c>
      <c r="P129" s="51" t="n">
        <v>0.0</v>
      </c>
      <c r="Q129" s="52" t="n">
        <f aca="false">M126*O126-P126</f>
      </c>
      <c r="R129" s="53" t="n">
        <v>0.18</v>
      </c>
      <c r="S129" s="47" t="inlineStr">
        <is>
          <t>IGST</t>
        </is>
      </c>
      <c r="T129" s="52" t="n">
        <f aca="false">IF(S126="IGST",ROUND(Q126*R126,2),0)</f>
      </c>
      <c r="U129" s="52" t="n">
        <f aca="false">IF(S126="CGST+SGST",ROUND(Q126*R126/2,2),0)</f>
      </c>
      <c r="V129" s="52" t="n">
        <f aca="false">U126</f>
      </c>
      <c r="W129" s="51" t="n">
        <v>0.0</v>
      </c>
      <c r="X129" s="52" t="n">
        <f aca="false">Q126+T126+U126+V126+W126</f>
      </c>
      <c r="Y129" s="52" t="n">
        <f aca="false">ROUND(Q126*AT126,0)</f>
      </c>
      <c r="Z129" s="52" t="n">
        <f aca="false">X126-Y126</f>
      </c>
      <c r="AA129" s="47"/>
      <c r="AB129" s="47"/>
      <c r="AC129" s="47"/>
      <c r="AD129" s="47" t="inlineStr">
        <is>
          <t>Karnataka (29)</t>
        </is>
      </c>
      <c r="AE129" s="47" t="inlineStr">
        <is>
          <t>06AAFCN6567R1ZL</t>
        </is>
      </c>
      <c r="AF129" s="47" t="inlineStr">
        <is>
          <t>Haryana (06)</t>
        </is>
      </c>
      <c r="AG129" s="47"/>
      <c r="AH129" s="48"/>
      <c r="AI129" s="47"/>
      <c r="AJ129" s="47"/>
      <c r="AK129" s="47"/>
      <c r="AL129" s="47"/>
      <c r="AM129" s="47"/>
      <c r="AN129" s="47"/>
      <c r="AO129" s="47"/>
      <c r="AP129" s="47"/>
      <c r="AQ129" s="47"/>
      <c r="AR129" s="47" t="inlineStr">
        <is>
          <t>No RCM – forward charge; goods/services, IGST charged by supplier. ITC eligible (check GSTR-2B).</t>
        </is>
      </c>
      <c r="AS129" s="47" t="inlineStr">
        <is>
          <t>Sec 393(1) – purchase of goods (old 194Q), code 1031. Apply only if FY purchases from this supplier &gt; ₹50 L (on excess).</t>
        </is>
      </c>
      <c r="AT129" s="54" t="n">
        <v>0.001</v>
      </c>
    </row>
    <row r="130" customFormat="false" ht="14.25" hidden="false" customHeight="true" outlineLevel="0" collapsed="false">
      <c r="A130" s="47" t="n">
        <v>123</v>
      </c>
      <c r="B130" s="47" t="inlineStr">
        <is>
          <t>Niva's Designs\CN_Nicobar_Delhi_29-08-26 04.10.26.pdf</t>
        </is>
      </c>
      <c r="C130" s="47" t="inlineStr">
        <is>
          <t>CN_Nicobar_Delhi_29/08/26</t>
        </is>
      </c>
      <c r="D130" s="48" t="n">
        <v>46299</v>
      </c>
      <c r="E130" s="49" t="n">
        <f aca="false">YEAR(D127)</f>
      </c>
      <c r="F130" s="50" t="str">
        <f aca="false">TEXT(D127,"mmm")</f>
      </c>
      <c r="G130" s="47" t="inlineStr">
        <is>
          <t>Niva's Designs</t>
        </is>
      </c>
      <c r="H130" s="47" t="inlineStr">
        <is>
          <t>06BCAPS9611Q1Z0</t>
        </is>
      </c>
      <c r="I130" s="47"/>
      <c r="J130" s="47" t="inlineStr">
        <is>
          <t>Expense / Services - Niva's Designs</t>
        </is>
      </c>
      <c r="K130" s="55"/>
      <c r="L130" s="47"/>
      <c r="M130" s="47" t="n">
        <v>1.0</v>
      </c>
      <c r="N130" s="47" t="inlineStr">
        <is>
          <t>NOS</t>
        </is>
      </c>
      <c r="O130" s="51" t="n">
        <v>30117.8</v>
      </c>
      <c r="P130" s="51" t="n">
        <v>0.0</v>
      </c>
      <c r="Q130" s="52" t="n">
        <f aca="false">M127*O127-P127</f>
      </c>
      <c r="R130" s="53" t="n">
        <v>0.18</v>
      </c>
      <c r="S130" s="47" t="inlineStr">
        <is>
          <t>IGST</t>
        </is>
      </c>
      <c r="T130" s="52" t="n">
        <f aca="false">IF(S127="IGST",ROUND(Q127*R127,2),0)</f>
      </c>
      <c r="U130" s="52" t="n">
        <f aca="false">IF(S127="CGST+SGST",ROUND(Q127*R127/2,2),0)</f>
      </c>
      <c r="V130" s="52" t="n">
        <f aca="false">U127</f>
      </c>
      <c r="W130" s="51" t="n">
        <v>0.49</v>
      </c>
      <c r="X130" s="52" t="n">
        <f aca="false">Q127+T127+U127+V127+W127</f>
      </c>
      <c r="Y130" s="52" t="n">
        <f aca="false">ROUND(Q127*AT127,0)</f>
      </c>
      <c r="Z130" s="52" t="n">
        <f aca="false">X127-Y127</f>
      </c>
      <c r="AA130" s="47"/>
      <c r="AB130" s="47"/>
      <c r="AC130" s="47"/>
      <c r="AD130" s="47" t="inlineStr">
        <is>
          <t>Haryana (06)</t>
        </is>
      </c>
      <c r="AE130" s="47" t="inlineStr">
        <is>
          <t>07AAFCN6567R1ZJ</t>
        </is>
      </c>
      <c r="AF130" s="47" t="inlineStr">
        <is>
          <t>Delhi (07)</t>
        </is>
      </c>
      <c r="AG130" s="47" t="inlineStr">
        <is>
          <t>Dispatch</t>
        </is>
      </c>
      <c r="AH130" s="48"/>
      <c r="AI130" s="47"/>
      <c r="AJ130" s="47"/>
      <c r="AK130" s="47"/>
      <c r="AL130" s="47"/>
      <c r="AM130" s="47"/>
      <c r="AN130" s="47"/>
      <c r="AO130" s="47"/>
      <c r="AP130" s="47"/>
      <c r="AQ130" s="47"/>
      <c r="AR130" s="47" t="inlineStr">
        <is>
          <t>No RCM – forward charge; goods, CGST 2.5% + SGST 2.5%. ITC eligible (check GSTR-2B). Re-issued to Haryana GSTIN – invoice says actual invoice date 29-07-2026. Original ND/26-27/043 (Delhi, IGST) cancelled by credit note ND/26-27/CN3 – not entered. PO no./date taken from email thread. Nicobar asked for LR copy for ₹650 freight. Terms 45 days.</t>
        </is>
      </c>
      <c r="AS130" s="47" t="inlineStr">
        <is>
          <t>Sec 393(1) – purchase of goods (old 194Q). Apply only if FY purchases from this supplier &gt; ₹50 L – nil assumed.</t>
        </is>
      </c>
      <c r="AT130" s="54" t="n">
        <v>0</v>
      </c>
    </row>
    <row r="131" customFormat="false" ht="14.25" hidden="false" customHeight="true" outlineLevel="0" collapsed="false">
      <c r="A131" s="47" t="n">
        <v>124</v>
      </c>
      <c r="B131" s="47" t="inlineStr">
        <is>
          <t>Niva's Designs\ND-26-27-043 04.10.26.pdf</t>
        </is>
      </c>
      <c r="C131" s="47" t="inlineStr">
        <is>
          <t>ND/26-27/043</t>
        </is>
      </c>
      <c r="D131" s="48" t="n">
        <v>46299</v>
      </c>
      <c r="E131" s="49" t="n">
        <f aca="false">YEAR(D128)</f>
      </c>
      <c r="F131" s="50" t="str">
        <f aca="false">TEXT(D128,"mmm")</f>
      </c>
      <c r="G131" s="47" t="inlineStr">
        <is>
          <t>Niva's Designs</t>
        </is>
      </c>
      <c r="H131" s="47" t="inlineStr">
        <is>
          <t>06BCAPS9611Q1Z0</t>
        </is>
      </c>
      <c r="I131" s="47"/>
      <c r="J131" s="47" t="inlineStr">
        <is>
          <t>Expense / Services - Niva's Designs</t>
        </is>
      </c>
      <c r="K131" s="55"/>
      <c r="L131" s="47"/>
      <c r="M131" s="47" t="n">
        <v>1.0</v>
      </c>
      <c r="N131" s="47" t="inlineStr">
        <is>
          <t>NOS</t>
        </is>
      </c>
      <c r="O131" s="51" t="n">
        <v>30117.8</v>
      </c>
      <c r="P131" s="51" t="n">
        <v>0.0</v>
      </c>
      <c r="Q131" s="52" t="n">
        <f aca="false">M128*O128-P128</f>
      </c>
      <c r="R131" s="53" t="n">
        <v>0.18</v>
      </c>
      <c r="S131" s="47" t="inlineStr">
        <is>
          <t>IGST</t>
        </is>
      </c>
      <c r="T131" s="52" t="n">
        <f aca="false">IF(S128="IGST",ROUND(Q128*R128,2),0)</f>
      </c>
      <c r="U131" s="52" t="n">
        <f aca="false">IF(S128="CGST+SGST",ROUND(Q128*R128/2,2),0)</f>
      </c>
      <c r="V131" s="52" t="n">
        <f aca="false">U128</f>
      </c>
      <c r="W131" s="51" t="n">
        <v>0.49</v>
      </c>
      <c r="X131" s="52" t="n">
        <f aca="false">Q128+T128+U128+V128+W128</f>
      </c>
      <c r="Y131" s="52" t="n">
        <f aca="false">ROUND(Q128*AT128,0)</f>
      </c>
      <c r="Z131" s="52" t="n">
        <f aca="false">X128-Y128</f>
      </c>
      <c r="AA131" s="47"/>
      <c r="AB131" s="47"/>
      <c r="AC131" s="47"/>
      <c r="AD131" s="47" t="inlineStr">
        <is>
          <t>Haryana (06)</t>
        </is>
      </c>
      <c r="AE131" s="47" t="inlineStr">
        <is>
          <t>07AAFCN6567R1ZJ</t>
        </is>
      </c>
      <c r="AF131" s="47" t="inlineStr">
        <is>
          <t>Delhi (07)</t>
        </is>
      </c>
      <c r="AG131" s="47" t="inlineStr">
        <is>
          <t>Dispatch</t>
        </is>
      </c>
      <c r="AH131" s="48"/>
      <c r="AI131" s="47" t="inlineStr">
        <is>
          <t>Reference</t>
        </is>
      </c>
      <c r="AJ131" s="47"/>
      <c r="AK131" s="47"/>
      <c r="AL131" s="47"/>
      <c r="AM131" s="47"/>
      <c r="AN131" s="47"/>
      <c r="AO131" s="47"/>
      <c r="AP131" s="47"/>
      <c r="AQ131" s="47"/>
      <c r="AR131" s="47" t="inlineStr">
        <is>
          <t>No RCM – forward charge; goods, CGST 2.5% + SGST 2.5%. ITC eligible (check GSTR-2B). Re-issued to Haryana GSTIN – invoice says actual invoice date 29-07-2026. Original ND/26-27/043 (Delhi, IGST) cancelled by credit note ND/26-27/CN3 – not entered. PO no./date taken from email thread. Nicobar asked for LR copy for ₹650 freight. Terms 45 days.</t>
        </is>
      </c>
      <c r="AS131" s="47" t="inlineStr">
        <is>
          <t>Sec 393(1) – purchase of goods (old 194Q). Apply only if FY purchases from this supplier &gt; ₹50 L – nil assumed.</t>
        </is>
      </c>
      <c r="AT131" s="54" t="n">
        <v>0</v>
      </c>
    </row>
    <row r="132" customFormat="false" ht="14.25" hidden="false" customHeight="true" outlineLevel="0" collapsed="false">
      <c r="A132" s="47" t="n">
        <v>125</v>
      </c>
      <c r="B132" s="47" t="inlineStr">
        <is>
          <t>IPinfo Inc\Invoice-3MNDSIX0-0003 (1) 04.10.26.pdf</t>
        </is>
      </c>
      <c r="C132" s="47" t="inlineStr">
        <is>
          <t>Invoice/3MNDSIX0/0003 (1)</t>
        </is>
      </c>
      <c r="D132" s="48" t="n">
        <v>46299</v>
      </c>
      <c r="E132" s="49" t="n">
        <f aca="false">YEAR(D129)</f>
      </c>
      <c r="F132" s="50" t="str">
        <f aca="false">TEXT(D129,"mmm")</f>
      </c>
      <c r="G132" s="47" t="inlineStr">
        <is>
          <t>IPinfo Inc</t>
        </is>
      </c>
      <c r="H132" s="47"/>
      <c r="I132" s="47"/>
      <c r="J132" s="47" t="inlineStr">
        <is>
          <t>Expense / Services - IPinfo Inc</t>
        </is>
      </c>
      <c r="K132" s="55"/>
      <c r="L132" s="47"/>
      <c r="M132" s="47" t="n">
        <v>1.0</v>
      </c>
      <c r="N132" s="47" t="inlineStr">
        <is>
          <t>NOS</t>
        </is>
      </c>
      <c r="O132" s="51" t="n">
        <v>0.0</v>
      </c>
      <c r="P132" s="51" t="n">
        <v>0.0</v>
      </c>
      <c r="Q132" s="52" t="n">
        <f aca="false">M129*O129-P129</f>
      </c>
      <c r="R132" s="53" t="n">
        <v>0.0</v>
      </c>
      <c r="S132" s="47" t="inlineStr">
        <is>
          <t>No GST (unregistered)</t>
        </is>
      </c>
      <c r="T132" s="52" t="n">
        <f aca="false">IF(S129="IGST",ROUND(Q129*R129,2),0)</f>
      </c>
      <c r="U132" s="52" t="n">
        <f aca="false">IF(S129="CGST+SGST",ROUND(Q129*R129/2,2),0)</f>
      </c>
      <c r="V132" s="52" t="n">
        <f aca="false">U129</f>
      </c>
      <c r="W132" s="51" t="n">
        <v>0.0</v>
      </c>
      <c r="X132" s="52" t="n">
        <f aca="false">Q129+T129+U129+V129+W129</f>
      </c>
      <c r="Y132" s="52" t="n">
        <f aca="false">ROUND(Q129*AT129,0)</f>
      </c>
      <c r="Z132" s="52" t="n">
        <f aca="false">X129-Y129</f>
      </c>
      <c r="AA132" s="47"/>
      <c r="AB132" s="47"/>
      <c r="AC132" s="47"/>
      <c r="AD132" s="47"/>
      <c r="AE132" s="47" t="inlineStr">
        <is>
          <t>06AAFCN6567R1ZL</t>
        </is>
      </c>
      <c r="AF132" s="47" t="inlineStr">
        <is>
          <t>Haryana (06)</t>
        </is>
      </c>
      <c r="AG132" s="47"/>
      <c r="AH132" s="48"/>
      <c r="AI132" s="47"/>
      <c r="AJ132" s="47"/>
      <c r="AK132" s="47"/>
      <c r="AL132" s="47"/>
      <c r="AM132" s="47"/>
      <c r="AN132" s="47"/>
      <c r="AO132" s="47"/>
      <c r="AP132" s="47"/>
      <c r="AQ132" s="47"/>
      <c r="AR132" s="47" t="inlineStr">
        <is>
          <t>No RCM – forward charge; CGST + SGST charged by supplier. ITC eligible (check GSTR-2B).</t>
        </is>
      </c>
      <c r="AS132" s="47" t="inlineStr">
        <is>
          <t>Sec 393(1) – purchase of goods (old 194Q), code 1031. Apply only if FY purchases from this supplier &gt; ₹50 L (on excess).</t>
        </is>
      </c>
      <c r="AT132" s="54" t="n">
        <v>0.001</v>
      </c>
    </row>
    <row r="133" customFormat="false" ht="14.25" hidden="false" customHeight="true" outlineLevel="0" collapsed="false">
      <c r="A133" s="47" t="n">
        <v>126</v>
      </c>
      <c r="B133" s="47" t="inlineStr">
        <is>
          <t>General Expenses\WhatsApp Image 2026-09-29 at 3.31.47 PM 04.10.26.pdf</t>
        </is>
      </c>
      <c r="C133" s="47" t="inlineStr">
        <is>
          <t>WhatsApp Image 2026/09/29 at 3.31.47 PM</t>
        </is>
      </c>
      <c r="D133" s="48" t="n">
        <v>46299</v>
      </c>
      <c r="E133" s="49" t="n">
        <f aca="false">YEAR(D130)</f>
      </c>
      <c r="F133" s="50" t="str">
        <f aca="false">TEXT(D130,"mmm")</f>
      </c>
      <c r="G133" s="47" t="inlineStr">
        <is>
          <t>General Expenses</t>
        </is>
      </c>
      <c r="H133" s="47"/>
      <c r="I133" s="47"/>
      <c r="J133" s="47" t="inlineStr">
        <is>
          <t>Expense / Services - General Expenses</t>
        </is>
      </c>
      <c r="K133" s="55"/>
      <c r="L133" s="47"/>
      <c r="M133" s="47" t="n">
        <v>1.0</v>
      </c>
      <c r="N133" s="47" t="inlineStr">
        <is>
          <t>NOS</t>
        </is>
      </c>
      <c r="O133" s="51" t="n">
        <v>0.0</v>
      </c>
      <c r="P133" s="51" t="n">
        <v>0.0</v>
      </c>
      <c r="Q133" s="52" t="n">
        <f aca="false">M130*O130-P130</f>
      </c>
      <c r="R133" s="53" t="n">
        <v>0.0</v>
      </c>
      <c r="S133" s="47" t="inlineStr">
        <is>
          <t>No GST (unregistered)</t>
        </is>
      </c>
      <c r="T133" s="52" t="n">
        <f aca="false">IF(S130="IGST",ROUND(Q130*R130,2),0)</f>
      </c>
      <c r="U133" s="52" t="n">
        <f aca="false">IF(S130="CGST+SGST",ROUND(Q130*R130/2,2),0)</f>
      </c>
      <c r="V133" s="52" t="n">
        <f aca="false">U130</f>
      </c>
      <c r="W133" s="51" t="n">
        <v>0.0</v>
      </c>
      <c r="X133" s="52" t="n">
        <f aca="false">Q130+T130+U130+V130+W130</f>
      </c>
      <c r="Y133" s="52" t="n">
        <f aca="false">ROUND(Q130*AT130,0)</f>
      </c>
      <c r="Z133" s="52" t="n">
        <f aca="false">X130-Y130</f>
      </c>
      <c r="AA133" s="47"/>
      <c r="AB133" s="47"/>
      <c r="AC133" s="47"/>
      <c r="AD133" s="47"/>
      <c r="AE133" s="47" t="inlineStr">
        <is>
          <t>06AAFCN6567R1ZL</t>
        </is>
      </c>
      <c r="AF133" s="47" t="inlineStr">
        <is>
          <t>Haryana (06)</t>
        </is>
      </c>
      <c r="AG133" s="47"/>
      <c r="AH133" s="48"/>
      <c r="AI133" s="47"/>
      <c r="AJ133" s="47"/>
      <c r="AK133" s="47"/>
      <c r="AL133" s="47"/>
      <c r="AM133" s="47"/>
      <c r="AN133" s="47"/>
      <c r="AO133" s="47"/>
      <c r="AP133" s="47"/>
      <c r="AQ133" s="47"/>
      <c r="AR133" s="47" t="inlineStr">
        <is>
          <t>No RCM – forward charge; CGST + SGST charged by supplier. ITC eligible (check GSTR-2B).</t>
        </is>
      </c>
      <c r="AS133" s="47" t="inlineStr">
        <is>
          <t>Sec 393(1) – purchase of goods (old 194Q), code 1031. Apply only if FY purchases from this supplier &gt; ₹50 L (on excess).</t>
        </is>
      </c>
      <c r="AT133" s="54" t="n">
        <v>0.001</v>
      </c>
    </row>
    <row r="134" customFormat="false" ht="14.25" hidden="false" customHeight="true" outlineLevel="0" collapsed="false">
      <c r="A134" s="47" t="n">
        <v>127</v>
      </c>
      <c r="B134" s="47" t="inlineStr">
        <is>
          <t>A &amp; S Creations\Invoice 065 - Nicobar - September 26 04.10.26.pdf</t>
        </is>
      </c>
      <c r="C134" s="47" t="inlineStr">
        <is>
          <t>Invoice 065 / Nicobar / September 26</t>
        </is>
      </c>
      <c r="D134" s="48" t="n">
        <v>46299</v>
      </c>
      <c r="E134" s="49" t="n">
        <f aca="false">YEAR(D131)</f>
      </c>
      <c r="F134" s="50" t="str">
        <f aca="false">TEXT(D131,"mmm")</f>
      </c>
      <c r="G134" s="47" t="inlineStr">
        <is>
          <t>A &amp; S Creations</t>
        </is>
      </c>
      <c r="H134" s="47" t="inlineStr">
        <is>
          <t>07ABNFA6509L1Z2</t>
        </is>
      </c>
      <c r="I134" s="47"/>
      <c r="J134" s="47" t="inlineStr">
        <is>
          <t>Expense / Services - A &amp; S Creations</t>
        </is>
      </c>
      <c r="K134" s="55"/>
      <c r="L134" s="47"/>
      <c r="M134" s="47" t="n">
        <v>1.0</v>
      </c>
      <c r="N134" s="47" t="inlineStr">
        <is>
          <t>NOS</t>
        </is>
      </c>
      <c r="O134" s="51" t="n">
        <v>42351.69</v>
      </c>
      <c r="P134" s="51" t="n">
        <v>0.0</v>
      </c>
      <c r="Q134" s="52" t="n">
        <f aca="false">M131*O131-P131</f>
      </c>
      <c r="R134" s="53" t="n">
        <v>0.18</v>
      </c>
      <c r="S134" s="47" t="inlineStr">
        <is>
          <t>CGST+SGST</t>
        </is>
      </c>
      <c r="T134" s="52" t="n">
        <f aca="false">IF(S131="IGST",ROUND(Q131*R131,2),0)</f>
      </c>
      <c r="U134" s="52" t="n">
        <f aca="false">IF(S131="CGST+SGST",ROUND(Q131*R131/2,2),0)</f>
      </c>
      <c r="V134" s="52" t="n">
        <f aca="false">U131</f>
      </c>
      <c r="W134" s="51" t="n">
        <v>0.0</v>
      </c>
      <c r="X134" s="52" t="n">
        <f aca="false">Q131+T131+U131+V131+W131</f>
      </c>
      <c r="Y134" s="52" t="n">
        <f aca="false">ROUND(Q131*AT131,0)</f>
      </c>
      <c r="Z134" s="52" t="n">
        <f aca="false">X131-Y131</f>
      </c>
      <c r="AA134" s="47"/>
      <c r="AB134" s="47"/>
      <c r="AC134" s="47"/>
      <c r="AD134" s="47" t="inlineStr">
        <is>
          <t>Delhi (07)</t>
        </is>
      </c>
      <c r="AE134" s="47" t="inlineStr">
        <is>
          <t>07AAFCN6567R2ZI</t>
        </is>
      </c>
      <c r="AF134" s="47" t="inlineStr">
        <is>
          <t>Delhi (07)</t>
        </is>
      </c>
      <c r="AG134" s="47"/>
      <c r="AH134" s="48"/>
      <c r="AI134" s="47"/>
      <c r="AJ134" s="47"/>
      <c r="AK134" s="47"/>
      <c r="AL134" s="47"/>
      <c r="AM134" s="47"/>
      <c r="AN134" s="47"/>
      <c r="AO134" s="47"/>
      <c r="AP134" s="47"/>
      <c r="AQ134" s="47"/>
      <c r="AR134" s="47" t="inlineStr">
        <is>
          <t>No RCM – GST @5% shown as one line; split here as CGST 2.5% + SGST 2.5% (intra-Delhi). Outdoor catering at 5% – ITC not available. Document titled "Invoice" (not "Tax Invoice"), no HSN/SAC, and buyer GSTIN printed as 07AAFCN6567R2ZI (Nicobar Delhi GSTIN is 07AAFCN6567R1ZJ) – ask supplier for a corrected tax invoice. 100% advance terms.</t>
        </is>
      </c>
      <c r="AS134" s="47" t="inlineStr">
        <is>
          <t>Sec 393(1) – contract/catering (old 194C), 2% (firm). Nil now: ₹24,988 below ₹30,000 single-bill / ₹1 L FY threshold.</t>
        </is>
      </c>
      <c r="AT134" s="54" t="n">
        <v>0</v>
      </c>
    </row>
    <row r="135" customFormat="false" ht="14.25" hidden="false" customHeight="true" outlineLevel="0" collapsed="false">
      <c r="A135" s="47" t="n">
        <v>128</v>
      </c>
      <c r="B135" s="47" t="inlineStr">
        <is>
          <t>Gowri Parvathy\Nicobar invoice 04.10.26.pdf</t>
        </is>
      </c>
      <c r="C135" s="47" t="inlineStr">
        <is>
          <t>Nicobar invoice</t>
        </is>
      </c>
      <c r="D135" s="48" t="n">
        <v>46299</v>
      </c>
      <c r="E135" s="49" t="n">
        <f aca="false">YEAR(D132)</f>
      </c>
      <c r="F135" s="50" t="str">
        <f aca="false">TEXT(D132,"mmm")</f>
      </c>
      <c r="G135" s="47" t="inlineStr">
        <is>
          <t>Gowri Parvathy</t>
        </is>
      </c>
      <c r="H135" s="47"/>
      <c r="I135" s="47"/>
      <c r="J135" s="47" t="inlineStr">
        <is>
          <t>Expense / Services - Gowri Parvathy</t>
        </is>
      </c>
      <c r="K135" s="55"/>
      <c r="L135" s="47"/>
      <c r="M135" s="47" t="n">
        <v>1.0</v>
      </c>
      <c r="N135" s="47" t="inlineStr">
        <is>
          <t>NOS</t>
        </is>
      </c>
      <c r="O135" s="51" t="n">
        <v>0.0</v>
      </c>
      <c r="P135" s="51" t="n">
        <v>0.0</v>
      </c>
      <c r="Q135" s="52" t="n">
        <f aca="false">M132*O132-P132</f>
      </c>
      <c r="R135" s="53" t="n">
        <v>0.0</v>
      </c>
      <c r="S135" s="47" t="inlineStr">
        <is>
          <t>No GST (unregistered)</t>
        </is>
      </c>
      <c r="T135" s="52" t="n">
        <f aca="false">IF(S132="IGST",ROUND(Q132*R132,2),0)</f>
      </c>
      <c r="U135" s="52" t="n">
        <f aca="false">IF(S132="CGST+SGST",ROUND(Q132*R132/2,2),0)</f>
      </c>
      <c r="V135" s="52" t="n">
        <f aca="false">U132</f>
      </c>
      <c r="W135" s="51" t="n">
        <v>0.0</v>
      </c>
      <c r="X135" s="52" t="n">
        <f aca="false">Q132+T132+U132+V132+W132</f>
      </c>
      <c r="Y135" s="52" t="n">
        <f aca="false">ROUND(Q132*AT132,0)</f>
      </c>
      <c r="Z135" s="52" t="n">
        <f aca="false">X132-Y132</f>
      </c>
      <c r="AA135" s="47"/>
      <c r="AB135" s="47"/>
      <c r="AC135" s="47"/>
      <c r="AD135" s="47" t="inlineStr">
        <is>
          <t>Karnataka (29)</t>
        </is>
      </c>
      <c r="AE135" s="47" t="inlineStr">
        <is>
          <t>06AAFCN6567R1ZL</t>
        </is>
      </c>
      <c r="AF135" s="47" t="inlineStr">
        <is>
          <t>Haryana (06)</t>
        </is>
      </c>
      <c r="AG135" s="47"/>
      <c r="AH135" s="48"/>
      <c r="AI135" s="47"/>
      <c r="AJ135" s="47"/>
      <c r="AK135" s="47"/>
      <c r="AL135" s="47"/>
      <c r="AM135" s="47"/>
      <c r="AN135" s="47"/>
      <c r="AO135" s="47"/>
      <c r="AP135" s="47"/>
      <c r="AQ135" s="47"/>
      <c r="AR135" s="47" t="inlineStr">
        <is>
          <t>No RCM – unregistered individual; influencer/advertising service not notified under Sec 9(3)/9(4). No GST, no ITC. PDF also contains PAN card and cancelled cheque (Federal Bank).</t>
        </is>
      </c>
      <c r="AS135" s="47" t="inlineStr">
        <is>
          <t>Sec 393(1) – professional/advertising fees (old 194J), 10%. Nil now: ₹50,000 does not exceed the ₹50,000 FY threshold; deduct 10% if FY total exceeds it.</t>
        </is>
      </c>
      <c r="AT135" s="54" t="n">
        <v>0</v>
      </c>
    </row>
    <row r="137" customFormat="false" ht="14.25" hidden="false" customHeight="true" outlineLevel="0" collapsed="false">
      <c r="A137" s="44"/>
      <c r="B137" s="44"/>
      <c r="C137" s="44"/>
      <c r="D137" s="44"/>
      <c r="E137" s="44"/>
      <c r="F137" s="44"/>
      <c r="G137" s="44"/>
      <c r="H137" s="44"/>
      <c r="I137" s="44"/>
      <c r="J137" s="44"/>
      <c r="K137" s="44"/>
      <c r="L137" s="44"/>
      <c r="M137" s="44"/>
      <c r="N137" s="44"/>
      <c r="O137" s="44"/>
      <c r="P137" s="56" t="s">
        <v>667</v>
      </c>
      <c r="Q137" s="57" t="n">
        <f aca="false">SUM(Q5:Q124)</f>
        <v>8150660.50564</v>
      </c>
      <c r="R137" s="44"/>
      <c r="S137" s="44"/>
      <c r="T137" s="57" t="n">
        <f aca="false">SUM(T5:T124)</f>
        <v>438567.11</v>
      </c>
      <c r="U137" s="57" t="n">
        <f aca="false">SUM(U5:U124)</f>
        <v>338408.52</v>
      </c>
      <c r="V137" s="57" t="n">
        <f aca="false">SUM(V5:V124)</f>
        <v>338408.52</v>
      </c>
      <c r="W137" s="57" t="n">
        <f aca="false">SUM(W5:W124)</f>
        <v>0.98</v>
      </c>
      <c r="X137" s="57" t="n">
        <f aca="false">SUM(X5:X124)</f>
        <v>9266045.63564</v>
      </c>
      <c r="Y137" s="57" t="n">
        <f aca="false">SUM(Y5:Y124)</f>
        <v>290231</v>
      </c>
      <c r="Z137" s="57" t="n">
        <f aca="false">SUM(Z5:Z124)</f>
        <v>8975814.63564</v>
      </c>
    </row>
    <row r="138" customFormat="false" ht="14.25" hidden="false" customHeight="true" outlineLevel="0" collapsed="false">
      <c r="A138" s="45" t="s">
        <v>668</v>
      </c>
    </row>
    <row r="139" customFormat="false" ht="14.25" hidden="false" customHeight="true" outlineLevel="0" collapsed="false">
      <c r="A139" s="45" t="s">
        <v>669</v>
      </c>
    </row>
    <row r="140" customFormat="false" ht="14.25" hidden="false" customHeight="true" outlineLevel="0" collapsed="false">
      <c r="A140" s="45" t="s">
        <v>670</v>
      </c>
    </row>
    <row r="141" customFormat="false" ht="14.25" hidden="false" customHeight="true" outlineLevel="0" collapsed="false">
      <c r="A141" s="45" t="s">
        <v>671</v>
      </c>
    </row>
    <row r="142" customFormat="false" ht="14.25" hidden="false" customHeight="true" outlineLevel="0" collapsed="false">
      <c r="A142" s="45" t="s">
        <v>672</v>
      </c>
    </row>
    <row r="143" customFormat="false" ht="14.25" hidden="false" customHeight="true" outlineLevel="0" collapsed="false">
      <c r="A143" s="45" t="s">
        <v>673</v>
      </c>
    </row>
    <row r="144" customFormat="false" ht="14.25" hidden="false" customHeight="true" outlineLevel="0" collapsed="false">
      <c r="A144" s="45" t="s">
        <v>674</v>
      </c>
    </row>
    <row r="145" customFormat="false" ht="14.25" hidden="false" customHeight="true" outlineLevel="0" collapsed="false">
      <c r="A145" s="45" t="s">
        <v>675</v>
      </c>
    </row>
  </sheetData>
  <autoFilter ref="A4:AT1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pane xSplit="0" ySplit="5" topLeftCell="A6" activePane="bottomLeft" state="frozen"/>
      <selection pane="topLeft" activeCell="F1" activeCellId="0" sqref="F1"/>
      <selection pane="bottomLeft" activeCell="I15" activeCellId="0" sqref="I15"/>
    </sheetView>
  </sheetViews>
  <sheetFormatPr defaultColWidth="8.625" defaultRowHeight="14.2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3" min="3" style="1" width="26"/>
    <col collapsed="false" customWidth="true" hidden="false" outlineLevel="0" max="4" min="4" style="1" width="20"/>
    <col collapsed="false" customWidth="true" hidden="false" outlineLevel="0" max="5" min="5" style="1" width="28"/>
    <col collapsed="false" customWidth="true" hidden="false" outlineLevel="0" max="6" min="6" style="1" width="40"/>
    <col collapsed="false" customWidth="true" hidden="false" outlineLevel="0" max="7" min="7" style="1" width="9"/>
    <col collapsed="false" customWidth="true" hidden="false" outlineLevel="0" max="8" min="8" style="1" width="20"/>
    <col collapsed="false" customWidth="true" hidden="false" outlineLevel="0" max="9" min="9" style="1" width="60"/>
    <col collapsed="false" customWidth="true" hidden="false" outlineLevel="0" max="10" min="10" style="1" width="45"/>
    <col collapsed="false" customWidth="true" hidden="false" outlineLevel="0" max="11" min="11" style="1" width="18"/>
    <col collapsed="false" customWidth="true" hidden="false" outlineLevel="0" max="12" min="12" style="1" width="12"/>
    <col collapsed="false" customWidth="true" hidden="false" outlineLevel="0" max="13" min="13" style="1" width="16"/>
    <col collapsed="false" customWidth="true" hidden="false" outlineLevel="0" max="14" min="14" style="1" width="9"/>
  </cols>
  <sheetData>
    <row r="1" customFormat="false" ht="18" hidden="false" customHeight="true" outlineLevel="0" collapsed="false">
      <c r="A1" s="43" t="s">
        <v>676</v>
      </c>
    </row>
    <row r="2" customFormat="false" ht="14.25" hidden="false" customHeight="false" outlineLevel="0" collapsed="false">
      <c r="A2" s="58" t="s">
        <v>771</v>
      </c>
    </row>
    <row r="4" customFormat="false" ht="14.25" hidden="false" customHeight="false" outlineLevel="0" collapsed="false">
      <c r="A4" s="59" t="s">
        <v>678</v>
      </c>
    </row>
    <row r="5" customFormat="false" ht="14.25" hidden="false" customHeight="false" outlineLevel="0" collapsed="false">
      <c r="A5" s="60" t="s">
        <v>679</v>
      </c>
      <c r="B5" s="60" t="s">
        <v>680</v>
      </c>
      <c r="C5" s="60" t="s">
        <v>681</v>
      </c>
      <c r="D5" s="60" t="s">
        <v>682</v>
      </c>
      <c r="E5" s="60" t="s">
        <v>683</v>
      </c>
      <c r="F5" s="60" t="s">
        <v>684</v>
      </c>
      <c r="G5" s="60" t="s">
        <v>685</v>
      </c>
      <c r="H5" s="60" t="s">
        <v>686</v>
      </c>
      <c r="I5" s="60" t="s">
        <v>687</v>
      </c>
      <c r="J5" s="60" t="s">
        <v>688</v>
      </c>
      <c r="K5" s="60" t="s">
        <v>689</v>
      </c>
      <c r="L5" s="60" t="s">
        <v>690</v>
      </c>
      <c r="M5" s="60" t="s">
        <v>691</v>
      </c>
    </row>
    <row r="6" customFormat="false" ht="14.25" hidden="false" customHeight="false" outlineLevel="0" collapsed="false">
      <c r="A6" s="61" t="n">
        <v>1</v>
      </c>
      <c r="B6" s="62" t="n">
        <v>46289.4804398148</v>
      </c>
      <c r="C6" s="61" t="s">
        <v>692</v>
      </c>
      <c r="D6" s="61" t="s">
        <v>693</v>
      </c>
      <c r="E6" s="61"/>
      <c r="F6" s="61" t="s">
        <v>694</v>
      </c>
      <c r="G6" s="63" t="n">
        <v>12.1</v>
      </c>
      <c r="H6" s="64" t="s">
        <v>695</v>
      </c>
      <c r="I6" s="61" t="s">
        <v>696</v>
      </c>
      <c r="J6" s="61" t="s">
        <v>697</v>
      </c>
      <c r="K6" s="61" t="s">
        <v>698</v>
      </c>
      <c r="L6" s="65" t="s">
        <v>699</v>
      </c>
      <c r="M6" s="62" t="n">
        <v>46296.6145833333</v>
      </c>
    </row>
    <row r="7" customFormat="false" ht="14.25" hidden="false" customHeight="false" outlineLevel="0" collapsed="false">
      <c r="A7" s="61" t="n">
        <v>2</v>
      </c>
      <c r="B7" s="62" t="n">
        <v>46290.558912037</v>
      </c>
      <c r="C7" s="61" t="s">
        <v>700</v>
      </c>
      <c r="D7" s="61" t="s">
        <v>693</v>
      </c>
      <c r="E7" s="61" t="s">
        <v>701</v>
      </c>
      <c r="F7" s="61" t="s">
        <v>702</v>
      </c>
      <c r="G7" s="63" t="n">
        <v>13.8</v>
      </c>
      <c r="H7" s="64" t="s">
        <v>695</v>
      </c>
      <c r="I7" s="61" t="s">
        <v>703</v>
      </c>
      <c r="J7" s="61" t="s">
        <v>704</v>
      </c>
      <c r="K7" s="61" t="s">
        <v>705</v>
      </c>
      <c r="L7" s="65" t="s">
        <v>699</v>
      </c>
      <c r="M7" s="62" t="n">
        <v>46296.6145833333</v>
      </c>
    </row>
    <row r="8" customFormat="false" ht="14.25" hidden="false" customHeight="false" outlineLevel="0" collapsed="false">
      <c r="A8" s="61" t="n">
        <v>3</v>
      </c>
      <c r="B8" s="62" t="n">
        <v>46289.6829861111</v>
      </c>
      <c r="C8" s="61" t="s">
        <v>706</v>
      </c>
      <c r="D8" s="61" t="s">
        <v>693</v>
      </c>
      <c r="E8" s="61" t="s">
        <v>707</v>
      </c>
      <c r="F8" s="61" t="s">
        <v>708</v>
      </c>
      <c r="G8" s="63" t="n">
        <v>27.2</v>
      </c>
      <c r="H8" s="64" t="s">
        <v>695</v>
      </c>
      <c r="I8" s="61" t="s">
        <v>709</v>
      </c>
      <c r="J8" s="61" t="s">
        <v>704</v>
      </c>
      <c r="K8" s="61" t="s">
        <v>710</v>
      </c>
      <c r="L8" s="65" t="s">
        <v>699</v>
      </c>
      <c r="M8" s="62" t="n">
        <v>46296.6145833333</v>
      </c>
    </row>
    <row r="9" customFormat="false" ht="14.25" hidden="false" customHeight="false" outlineLevel="0" collapsed="false">
      <c r="A9" s="61" t="n">
        <v>4</v>
      </c>
      <c r="B9" s="62" t="n">
        <v>46289.7280439815</v>
      </c>
      <c r="C9" s="61" t="s">
        <v>706</v>
      </c>
      <c r="D9" s="61" t="s">
        <v>693</v>
      </c>
      <c r="E9" s="61" t="s">
        <v>707</v>
      </c>
      <c r="F9" s="61" t="s">
        <v>711</v>
      </c>
      <c r="G9" s="63" t="n">
        <v>18.6</v>
      </c>
      <c r="H9" s="64" t="s">
        <v>695</v>
      </c>
      <c r="I9" s="61" t="s">
        <v>712</v>
      </c>
      <c r="J9" s="61" t="s">
        <v>704</v>
      </c>
      <c r="K9" s="61" t="s">
        <v>713</v>
      </c>
      <c r="L9" s="65" t="s">
        <v>699</v>
      </c>
      <c r="M9" s="62" t="n">
        <v>46296.6145833333</v>
      </c>
    </row>
    <row r="10" customFormat="false" ht="14.25" hidden="false" customHeight="false" outlineLevel="0" collapsed="false">
      <c r="A10" s="61" t="n">
        <v>5</v>
      </c>
      <c r="B10" s="62" t="s">
        <v>714</v>
      </c>
      <c r="C10" s="61" t="s">
        <v>715</v>
      </c>
      <c r="D10" s="61" t="s">
        <v>693</v>
      </c>
      <c r="E10" s="61"/>
      <c r="F10" s="61" t="s">
        <v>716</v>
      </c>
      <c r="G10" s="63"/>
      <c r="H10" s="64" t="s">
        <v>717</v>
      </c>
      <c r="I10" s="61" t="s">
        <v>772</v>
      </c>
      <c r="J10" s="61" t="s">
        <v>719</v>
      </c>
      <c r="K10" s="61" t="s">
        <v>714</v>
      </c>
      <c r="L10" s="65"/>
      <c r="M10" s="66" t="s">
        <v>773</v>
      </c>
    </row>
    <row r="12" customFormat="false" ht="14.25" hidden="false" customHeight="false" outlineLevel="0" collapsed="false">
      <c r="A12" s="59" t="s">
        <v>721</v>
      </c>
    </row>
    <row r="13" customFormat="false" ht="14.25" hidden="false" customHeight="false" outlineLevel="0" collapsed="false">
      <c r="A13" s="60" t="s">
        <v>679</v>
      </c>
      <c r="B13" s="60" t="s">
        <v>680</v>
      </c>
      <c r="C13" s="60" t="s">
        <v>681</v>
      </c>
      <c r="D13" s="60" t="s">
        <v>682</v>
      </c>
      <c r="E13" s="60" t="s">
        <v>683</v>
      </c>
      <c r="F13" s="60" t="s">
        <v>684</v>
      </c>
      <c r="G13" s="60" t="s">
        <v>685</v>
      </c>
      <c r="H13" s="60" t="s">
        <v>686</v>
      </c>
      <c r="I13" s="60" t="s">
        <v>687</v>
      </c>
      <c r="J13" s="60" t="s">
        <v>688</v>
      </c>
      <c r="K13" s="60" t="s">
        <v>689</v>
      </c>
      <c r="L13" s="60" t="s">
        <v>690</v>
      </c>
      <c r="M13" s="60" t="s">
        <v>691</v>
      </c>
    </row>
    <row r="14" customFormat="false" ht="14.25" hidden="false" customHeight="false" outlineLevel="0" collapsed="false">
      <c r="A14" s="61" t="n">
        <v>6</v>
      </c>
      <c r="B14" s="62" t="n">
        <v>46289.4841898148</v>
      </c>
      <c r="C14" s="61" t="s">
        <v>692</v>
      </c>
      <c r="D14" s="61" t="s">
        <v>693</v>
      </c>
      <c r="E14" s="61"/>
      <c r="F14" s="61" t="s">
        <v>722</v>
      </c>
      <c r="G14" s="63" t="n">
        <v>0.7</v>
      </c>
      <c r="H14" s="61" t="s">
        <v>723</v>
      </c>
      <c r="I14" s="61" t="s">
        <v>724</v>
      </c>
      <c r="J14" s="61" t="s">
        <v>725</v>
      </c>
      <c r="K14" s="61" t="s">
        <v>726</v>
      </c>
      <c r="L14" s="65" t="s">
        <v>699</v>
      </c>
      <c r="M14" s="62" t="n">
        <v>46291.9166666667</v>
      </c>
    </row>
    <row r="15" customFormat="false" ht="14.25" hidden="false" customHeight="false" outlineLevel="0" collapsed="false">
      <c r="A15" s="61" t="n">
        <v>7</v>
      </c>
      <c r="B15" s="62" t="n">
        <v>46289.4843171296</v>
      </c>
      <c r="C15" s="61" t="s">
        <v>692</v>
      </c>
      <c r="D15" s="61" t="s">
        <v>693</v>
      </c>
      <c r="E15" s="61"/>
      <c r="F15" s="61" t="s">
        <v>727</v>
      </c>
      <c r="G15" s="63" t="n">
        <v>0.7</v>
      </c>
      <c r="H15" s="61" t="s">
        <v>723</v>
      </c>
      <c r="I15" s="61" t="s">
        <v>728</v>
      </c>
      <c r="J15" s="61" t="s">
        <v>729</v>
      </c>
      <c r="K15" s="61" t="s">
        <v>730</v>
      </c>
      <c r="L15" s="65" t="s">
        <v>699</v>
      </c>
      <c r="M15" s="62" t="n">
        <v>46291.9166666667</v>
      </c>
    </row>
    <row r="16" customFormat="false" ht="14.25" hidden="false" customHeight="false" outlineLevel="0" collapsed="false">
      <c r="A16" s="61" t="n">
        <v>8</v>
      </c>
      <c r="B16" s="62" t="n">
        <v>46289.4838888889</v>
      </c>
      <c r="C16" s="61" t="s">
        <v>692</v>
      </c>
      <c r="D16" s="61" t="s">
        <v>693</v>
      </c>
      <c r="E16" s="61"/>
      <c r="F16" s="61" t="s">
        <v>731</v>
      </c>
      <c r="G16" s="63" t="n">
        <v>0.4</v>
      </c>
      <c r="H16" s="61" t="s">
        <v>732</v>
      </c>
      <c r="I16" s="61" t="s">
        <v>733</v>
      </c>
      <c r="J16" s="61" t="s">
        <v>734</v>
      </c>
      <c r="K16" s="61" t="s">
        <v>735</v>
      </c>
      <c r="L16" s="65" t="s">
        <v>699</v>
      </c>
      <c r="M16" s="62" t="n">
        <v>46291.9166666667</v>
      </c>
    </row>
    <row r="17" customFormat="false" ht="14.25" hidden="false" customHeight="false" outlineLevel="0" collapsed="false">
      <c r="A17" s="61" t="n">
        <v>9</v>
      </c>
      <c r="B17" s="62" t="n">
        <v>46289.4830439815</v>
      </c>
      <c r="C17" s="61" t="s">
        <v>692</v>
      </c>
      <c r="D17" s="61" t="s">
        <v>693</v>
      </c>
      <c r="E17" s="61"/>
      <c r="F17" s="61" t="s">
        <v>736</v>
      </c>
      <c r="G17" s="63" t="n">
        <v>0.2</v>
      </c>
      <c r="H17" s="61" t="s">
        <v>732</v>
      </c>
      <c r="I17" s="61" t="s">
        <v>737</v>
      </c>
      <c r="J17" s="61" t="s">
        <v>734</v>
      </c>
      <c r="K17" s="61" t="s">
        <v>738</v>
      </c>
      <c r="L17" s="65" t="s">
        <v>699</v>
      </c>
      <c r="M17" s="62" t="n">
        <v>46291.9166666667</v>
      </c>
    </row>
    <row r="18" customFormat="false" ht="14.25" hidden="false" customHeight="false" outlineLevel="0" collapsed="false">
      <c r="A18" s="61" t="n">
        <v>10</v>
      </c>
      <c r="B18" s="62" t="n">
        <v>46289.4840393519</v>
      </c>
      <c r="C18" s="61" t="s">
        <v>692</v>
      </c>
      <c r="D18" s="61" t="s">
        <v>693</v>
      </c>
      <c r="E18" s="61"/>
      <c r="F18" s="61" t="s">
        <v>739</v>
      </c>
      <c r="G18" s="63" t="n">
        <v>0.7</v>
      </c>
      <c r="H18" s="61" t="s">
        <v>732</v>
      </c>
      <c r="I18" s="61" t="s">
        <v>740</v>
      </c>
      <c r="J18" s="61" t="s">
        <v>734</v>
      </c>
      <c r="K18" s="61" t="s">
        <v>741</v>
      </c>
      <c r="L18" s="65" t="s">
        <v>699</v>
      </c>
      <c r="M18" s="62" t="n">
        <v>46291.9166666667</v>
      </c>
    </row>
    <row r="19" customFormat="false" ht="14.25" hidden="false" customHeight="false" outlineLevel="0" collapsed="false">
      <c r="A19" s="61" t="n">
        <v>11</v>
      </c>
      <c r="B19" s="62" t="n">
        <v>46289.7203125</v>
      </c>
      <c r="C19" s="61" t="s">
        <v>742</v>
      </c>
      <c r="D19" s="61" t="s">
        <v>693</v>
      </c>
      <c r="E19" s="61"/>
      <c r="F19" s="61" t="s">
        <v>743</v>
      </c>
      <c r="G19" s="63" t="n">
        <v>1.2</v>
      </c>
      <c r="H19" s="61" t="s">
        <v>732</v>
      </c>
      <c r="I19" s="61" t="s">
        <v>744</v>
      </c>
      <c r="J19" s="61" t="s">
        <v>734</v>
      </c>
      <c r="K19" s="61" t="s">
        <v>745</v>
      </c>
      <c r="L19" s="65" t="s">
        <v>699</v>
      </c>
      <c r="M19" s="62" t="n">
        <v>46291.9166666667</v>
      </c>
    </row>
    <row r="20" customFormat="false" ht="14.25" hidden="false" customHeight="false" outlineLevel="0" collapsed="false">
      <c r="A20" s="61" t="n">
        <v>12</v>
      </c>
      <c r="B20" s="62" t="n">
        <v>46290.4589467593</v>
      </c>
      <c r="C20" s="61" t="s">
        <v>692</v>
      </c>
      <c r="D20" s="61" t="s">
        <v>693</v>
      </c>
      <c r="E20" s="61"/>
      <c r="F20" s="61" t="s">
        <v>746</v>
      </c>
      <c r="G20" s="63" t="n">
        <v>2.6</v>
      </c>
      <c r="H20" s="61" t="s">
        <v>747</v>
      </c>
      <c r="I20" s="61" t="s">
        <v>748</v>
      </c>
      <c r="J20" s="61" t="s">
        <v>734</v>
      </c>
      <c r="K20" s="61" t="s">
        <v>749</v>
      </c>
      <c r="L20" s="65" t="s">
        <v>699</v>
      </c>
      <c r="M20" s="62" t="n">
        <v>46291.9166666667</v>
      </c>
    </row>
    <row r="21" customFormat="false" ht="14.25" hidden="false" customHeight="false" outlineLevel="0" collapsed="false">
      <c r="A21" s="61" t="n">
        <v>13</v>
      </c>
      <c r="B21" s="62" t="n">
        <v>46289.7205208333</v>
      </c>
      <c r="C21" s="61" t="s">
        <v>742</v>
      </c>
      <c r="D21" s="61" t="s">
        <v>693</v>
      </c>
      <c r="E21" s="61"/>
      <c r="F21" s="61" t="s">
        <v>750</v>
      </c>
      <c r="G21" s="63" t="n">
        <v>3.4</v>
      </c>
      <c r="H21" s="61" t="s">
        <v>747</v>
      </c>
      <c r="I21" s="61" t="s">
        <v>751</v>
      </c>
      <c r="J21" s="61" t="s">
        <v>734</v>
      </c>
      <c r="K21" s="61" t="s">
        <v>752</v>
      </c>
      <c r="L21" s="65" t="s">
        <v>699</v>
      </c>
      <c r="M21" s="62" t="n">
        <v>46291.9166666667</v>
      </c>
    </row>
    <row r="22" customFormat="false" ht="14.25" hidden="false" customHeight="false" outlineLevel="0" collapsed="false">
      <c r="A22" s="61" t="n">
        <v>14</v>
      </c>
      <c r="B22" s="62" t="n">
        <v>46296.6085185185</v>
      </c>
      <c r="C22" s="61" t="s">
        <v>753</v>
      </c>
      <c r="D22" s="61" t="s">
        <v>693</v>
      </c>
      <c r="E22" s="61"/>
      <c r="F22" s="61" t="s">
        <v>754</v>
      </c>
      <c r="G22" s="63" t="n">
        <v>0.13</v>
      </c>
      <c r="H22" s="61" t="s">
        <v>723</v>
      </c>
      <c r="I22" s="61" t="s">
        <v>755</v>
      </c>
      <c r="J22" s="61" t="s">
        <v>756</v>
      </c>
      <c r="K22" s="61" t="s">
        <v>757</v>
      </c>
      <c r="L22" s="65" t="s">
        <v>699</v>
      </c>
      <c r="M22" s="62" t="n">
        <v>46296.6145833333</v>
      </c>
    </row>
    <row r="23" customFormat="false" ht="14.25" hidden="false" customHeight="false" outlineLevel="0" collapsed="false">
      <c r="A23" s="61" t="n">
        <v>15</v>
      </c>
      <c r="B23" s="62" t="n">
        <v>46296.6085763889</v>
      </c>
      <c r="C23" s="61" t="s">
        <v>758</v>
      </c>
      <c r="D23" s="61" t="s">
        <v>693</v>
      </c>
      <c r="E23" s="61"/>
      <c r="F23" s="61" t="s">
        <v>759</v>
      </c>
      <c r="G23" s="63" t="n">
        <v>0.27</v>
      </c>
      <c r="H23" s="61" t="s">
        <v>732</v>
      </c>
      <c r="I23" s="61" t="s">
        <v>760</v>
      </c>
      <c r="J23" s="61" t="s">
        <v>734</v>
      </c>
      <c r="K23" s="61" t="s">
        <v>761</v>
      </c>
      <c r="L23" s="65" t="s">
        <v>699</v>
      </c>
      <c r="M23" s="62" t="n">
        <v>46296.6145833333</v>
      </c>
    </row>
    <row r="24" customFormat="false" ht="14.25" hidden="false" customHeight="false" outlineLevel="0" collapsed="false">
      <c r="A24" s="61" t="n">
        <v>16</v>
      </c>
      <c r="B24" s="62" t="n">
        <v>46296.6065046296</v>
      </c>
      <c r="C24" s="61" t="s">
        <v>762</v>
      </c>
      <c r="D24" s="61" t="s">
        <v>693</v>
      </c>
      <c r="E24" s="61"/>
      <c r="F24" s="61" t="s">
        <v>763</v>
      </c>
      <c r="G24" s="63" t="n">
        <v>0.38</v>
      </c>
      <c r="H24" s="61" t="s">
        <v>723</v>
      </c>
      <c r="I24" s="61" t="s">
        <v>764</v>
      </c>
      <c r="J24" s="61" t="s">
        <v>765</v>
      </c>
      <c r="K24" s="61" t="s">
        <v>766</v>
      </c>
      <c r="L24" s="65" t="s">
        <v>699</v>
      </c>
      <c r="M24" s="62" t="n">
        <v>46296.6145833333</v>
      </c>
    </row>
    <row r="25" customFormat="false" ht="14.25" hidden="false" customHeight="false" outlineLevel="0" collapsed="false">
      <c r="A25" s="61" t="n">
        <v>17</v>
      </c>
      <c r="B25" s="62" t="n">
        <v>46296.6085763889</v>
      </c>
      <c r="C25" s="61" t="s">
        <v>767</v>
      </c>
      <c r="D25" s="61" t="s">
        <v>693</v>
      </c>
      <c r="E25" s="61"/>
      <c r="F25" s="61" t="s">
        <v>768</v>
      </c>
      <c r="G25" s="63" t="n">
        <v>2.1</v>
      </c>
      <c r="H25" s="61" t="s">
        <v>747</v>
      </c>
      <c r="I25" s="61" t="s">
        <v>769</v>
      </c>
      <c r="J25" s="61" t="s">
        <v>734</v>
      </c>
      <c r="K25" s="61" t="s">
        <v>770</v>
      </c>
      <c r="L25" s="65" t="s">
        <v>699</v>
      </c>
      <c r="M25" s="62" t="n">
        <v>46296.6145833333</v>
      </c>
    </row>
  </sheetData>
  <hyperlinks>
    <hyperlink ref="L6" r:id="rId1" location="all/thread-f:1877191937277189595%7Cmsg-f:1877191937277189595" display="Open email"/>
    <hyperlink ref="L7" r:id="rId2" location="all/thread-f:1877289732469963142%7Cmsg-f:1877289732469963142" display="Open email"/>
    <hyperlink ref="L8" r:id="rId3" location="all/thread-f:1877210288415500762%7Cmsg-f:1877210288415500762" display="Open email"/>
    <hyperlink ref="L9" r:id="rId4" location="all/thread-f:1877210288415500762%7Cmsg-f:1877214374393070240" display="Open email"/>
    <hyperlink ref="L14" r:id="rId5" location="all/thread-f:1877192274802714692%7Cmsg-f:1877192274802714692" display="Open email"/>
    <hyperlink ref="L15" r:id="rId6" location="all/thread-f:1877192284365397196%7Cmsg-f:1877192284365397196" display="Open email"/>
    <hyperlink ref="L16" r:id="rId7" location="all/thread-f:1877192246806250539%7Cmsg-f:1877192246806250539" display="Open email"/>
    <hyperlink ref="L17" r:id="rId8" location="all/thread-f:1877192171131766048%7Cmsg-f:1877192171131766048" display="Open email"/>
    <hyperlink ref="L18" r:id="rId9" location="all/thread-f:1877192258802436532%7Cmsg-f:1877192258802436532" display="Open email"/>
    <hyperlink ref="L19" r:id="rId10" location="all/thread-f:1877213652043282022%7Cmsg-f:1877213667135697764" display="Open email"/>
    <hyperlink ref="L20" r:id="rId11" location="all/thread-f:1877280584569206362%7Cmsg-f:1877280584569206362" display="Open email"/>
    <hyperlink ref="L21" r:id="rId12" location="all/thread-f:1877213686866122404%7Cmsg-f:1877213686866122404" display="Open email"/>
    <hyperlink ref="L22" r:id="rId13" location="all/thread-f:1877837717513891715%7Cmsg-f:1877837717513891715" display="Open email"/>
    <hyperlink ref="L23" r:id="rId14" location="all/thread-f:1877837549506275100%7Cmsg-f:1877837739404780079" display="Open email"/>
    <hyperlink ref="L24" r:id="rId15" location="all/thread-f:1877837545048056885%7Cmsg-f:1877837545048056885" display="Open email"/>
    <hyperlink ref="L25" r:id="rId16" location="all/thread-f:1877837735936612803%7Cmsg-f:1877837735936612803" display="Open emai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2026-09-23T09:44:55Z</dcterms:created>
  <dc:creator>openpyxl</dc:creator>
  <dc:description/>
  <dc:language>en-US</dc:language>
  <cp:lastModifiedBy/>
  <dcterms:modified xsi:type="dcterms:W3CDTF">2026-10-03T15:58:54Z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